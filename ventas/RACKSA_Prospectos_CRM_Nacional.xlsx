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rospectos" sheetId="3" state="visible" r:id="rId3"/>
    <sheet xmlns:r="http://schemas.openxmlformats.org/officeDocument/2006/relationships" name="CRM" sheetId="4" state="visible" r:id="rId4"/>
    <sheet xmlns:r="http://schemas.openxmlformats.org/officeDocument/2006/relationships" name="Listas" sheetId="5" state="hidden" r:id="rId5"/>
    <sheet xmlns:r="http://schemas.openxmlformats.org/officeDocument/2006/relationships" name="Mensajes" sheetId="6" state="visible" r:id="rId6"/>
  </sheets>
  <definedNames>
    <definedName name="_xlnm._FilterDatabase" localSheetId="2" hidden="1">'Prospectos'!$A$1:$S$94</definedName>
    <definedName name="_xlnm._FilterDatabase" localSheetId="3" hidden="1">'CRM'!$A$1:$V$294</definedName>
    <definedName name="_xlnm._FilterDatabase" localSheetId="5" hidden="1">'Mensajes'!$A$1:$F$28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$&quot;#,##0.00"/>
    <numFmt numFmtId="166" formatCode="&quot;$&quot;#,##0"/>
  </numFmts>
  <fonts count="10">
    <font>
      <name val="Calibri"/>
      <family val="2"/>
      <color theme="1"/>
      <sz val="11"/>
      <scheme val="minor"/>
    </font>
    <font>
      <b val="1"/>
      <color rgb="00082A5C"/>
      <sz val="18"/>
    </font>
    <font>
      <i val="1"/>
      <color rgb="00555555"/>
    </font>
    <font>
      <b val="1"/>
      <color rgb="000F4C9D"/>
      <sz val="13"/>
    </font>
    <font>
      <name val="Calibri"/>
      <b val="1"/>
      <color rgb="00FFFFFF"/>
      <sz val="11"/>
    </font>
    <font>
      <color rgb="000F4C9D"/>
      <u val="single"/>
    </font>
    <font>
      <b val="1"/>
    </font>
    <font>
      <b val="1"/>
      <color rgb="00082A5C"/>
    </font>
    <font>
      <b val="1"/>
      <color rgb="00082A5C"/>
      <sz val="14"/>
    </font>
    <font>
      <b val="1"/>
      <color rgb="00082A5C"/>
      <sz val="12"/>
    </font>
  </fonts>
  <fills count="6">
    <fill>
      <patternFill/>
    </fill>
    <fill>
      <patternFill patternType="gray125"/>
    </fill>
    <fill>
      <patternFill patternType="solid">
        <fgColor rgb="00082A5C"/>
      </patternFill>
    </fill>
    <fill>
      <patternFill patternType="solid">
        <fgColor rgb="00FAC70C"/>
      </patternFill>
    </fill>
    <fill>
      <patternFill patternType="solid">
        <fgColor rgb="00DCE6F5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2" borderId="0" pivotButton="0" quotePrefix="0" xfId="0"/>
    <xf numFmtId="0" fontId="9" fillId="0" borderId="0" pivotButton="0" quotePrefix="0" xfId="0"/>
    <xf numFmtId="0" fontId="6" fillId="0" borderId="0" pivotButton="0" quotePrefix="0" xfId="0"/>
    <xf numFmtId="166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ont>
        <color rgb="00888888"/>
      </font>
      <fill>
        <patternFill patternType="solid">
          <fgColor rgb="00EDEDED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linkedin.com/search/results/people/?keywords=Farmamia%20log%C3%ADstica%20bodega" TargetMode="External" Id="rId1"/><Relationship Type="http://schemas.openxmlformats.org/officeDocument/2006/relationships/hyperlink" Target="https://www.google.com/maps/search/Farmamia%20Machala%20Ecuador" TargetMode="External" Id="rId2"/><Relationship Type="http://schemas.openxmlformats.org/officeDocument/2006/relationships/hyperlink" Target="https://www.agripac.com.ec" TargetMode="External" Id="rId3"/><Relationship Type="http://schemas.openxmlformats.org/officeDocument/2006/relationships/hyperlink" Target="https://agripac.com.ec/contactanos/" TargetMode="External" Id="rId4"/><Relationship Type="http://schemas.openxmlformats.org/officeDocument/2006/relationships/hyperlink" Target="https://www.linkedin.com/search/results/people/?keywords=Agripac%20log%C3%ADstica%20bodega" TargetMode="External" Id="rId5"/><Relationship Type="http://schemas.openxmlformats.org/officeDocument/2006/relationships/hyperlink" Target="https://www.google.com/maps/search/Agripac%20Guayaquil%20Ecuador" TargetMode="External" Id="rId6"/><Relationship Type="http://schemas.openxmlformats.org/officeDocument/2006/relationships/hyperlink" Target="https://www.comandato.com" TargetMode="External" Id="rId7"/><Relationship Type="http://schemas.openxmlformats.org/officeDocument/2006/relationships/hyperlink" Target="https://www.linkedin.com/search/results/people/?keywords=Comandato%20log%C3%ADstica%20bodega" TargetMode="External" Id="rId8"/><Relationship Type="http://schemas.openxmlformats.org/officeDocument/2006/relationships/hyperlink" Target="https://www.google.com/maps/search/Comandato%20Guayaquil%20Ecuador" TargetMode="External" Id="rId9"/><Relationship Type="http://schemas.openxmlformats.org/officeDocument/2006/relationships/hyperlink" Target="https://www.elrosado.com" TargetMode="External" Id="rId10"/><Relationship Type="http://schemas.openxmlformats.org/officeDocument/2006/relationships/hyperlink" Target="https://www.linkedin.com/search/results/people/?keywords=Corporaci%C3%B3n%20El%20Rosado%20log%C3%ADstica%20bodega" TargetMode="External" Id="rId11"/><Relationship Type="http://schemas.openxmlformats.org/officeDocument/2006/relationships/hyperlink" Target="https://www.google.com/maps/search/Corporaci%C3%B3n%20El%20Rosado%20Guayaquil%20Ecuador" TargetMode="External" Id="rId12"/><Relationship Type="http://schemas.openxmlformats.org/officeDocument/2006/relationships/hyperlink" Target="https://www.difare.com.ec" TargetMode="External" Id="rId13"/><Relationship Type="http://schemas.openxmlformats.org/officeDocument/2006/relationships/hyperlink" Target="https://difare.com.ec/contacto" TargetMode="External" Id="rId14"/><Relationship Type="http://schemas.openxmlformats.org/officeDocument/2006/relationships/hyperlink" Target="https://www.linkedin.com/search/results/people/?keywords=Difare%20log%C3%ADstica%20bodega" TargetMode="External" Id="rId15"/><Relationship Type="http://schemas.openxmlformats.org/officeDocument/2006/relationships/hyperlink" Target="https://www.google.com/maps/search/Difare%20Guayaquil%20Ecuador" TargetMode="External" Id="rId16"/><Relationship Type="http://schemas.openxmlformats.org/officeDocument/2006/relationships/hyperlink" Target="https://www.ecuaquimica.com.ec" TargetMode="External" Id="rId17"/><Relationship Type="http://schemas.openxmlformats.org/officeDocument/2006/relationships/hyperlink" Target="https://ecuaquimica.com.ec/contactenos/" TargetMode="External" Id="rId18"/><Relationship Type="http://schemas.openxmlformats.org/officeDocument/2006/relationships/hyperlink" Target="https://www.linkedin.com/search/results/people/?keywords=Ecuaqu%C3%ADmica%20log%C3%ADstica%20bodega" TargetMode="External" Id="rId19"/><Relationship Type="http://schemas.openxmlformats.org/officeDocument/2006/relationships/hyperlink" Target="https://www.google.com/maps/search/Ecuaqu%C3%ADmica%20Guayaquil%20Ecuador" TargetMode="External" Id="rId20"/><Relationship Type="http://schemas.openxmlformats.org/officeDocument/2006/relationships/hyperlink" Target="https://www.santapriscila.com" TargetMode="External" Id="rId21"/><Relationship Type="http://schemas.openxmlformats.org/officeDocument/2006/relationships/hyperlink" Target="https://www.linkedin.com/search/results/people/?keywords=Industrial%20Pesquera%20Santa%20Priscila%20log%C3%ADstica%20bodega" TargetMode="External" Id="rId22"/><Relationship Type="http://schemas.openxmlformats.org/officeDocument/2006/relationships/hyperlink" Target="https://www.google.com/maps/search/Industrial%20Pesquera%20Santa%20Priscila%20Guayaquil%20Ecuador" TargetMode="External" Id="rId23"/><Relationship Type="http://schemas.openxmlformats.org/officeDocument/2006/relationships/hyperlink" Target="https://www.tia.com.ec" TargetMode="External" Id="rId24"/><Relationship Type="http://schemas.openxmlformats.org/officeDocument/2006/relationships/hyperlink" Target="https://www.linkedin.com/search/results/people/?keywords=Tiendas%20Industriales%20Asociadas%20log%C3%ADstica%20bodega" TargetMode="External" Id="rId25"/><Relationship Type="http://schemas.openxmlformats.org/officeDocument/2006/relationships/hyperlink" Target="https://www.google.com/maps/search/Tiendas%20Industriales%20Asociadas%20Guayaquil%20Ecuador" TargetMode="External" Id="rId26"/><Relationship Type="http://schemas.openxmlformats.org/officeDocument/2006/relationships/hyperlink" Target="https://www.tonicorp.com" TargetMode="External" Id="rId27"/><Relationship Type="http://schemas.openxmlformats.org/officeDocument/2006/relationships/hyperlink" Target="https://www.linkedin.com/search/results/people/?keywords=Tonicorp%20log%C3%ADstica%20bodega" TargetMode="External" Id="rId28"/><Relationship Type="http://schemas.openxmlformats.org/officeDocument/2006/relationships/hyperlink" Target="https://www.google.com/maps/search/Tonicorp%20Guayaquil%20Ecuador" TargetMode="External" Id="rId29"/><Relationship Type="http://schemas.openxmlformats.org/officeDocument/2006/relationships/hyperlink" Target="https://www.dipacmanta.com" TargetMode="External" Id="rId30"/><Relationship Type="http://schemas.openxmlformats.org/officeDocument/2006/relationships/hyperlink" Target="https://dipacmanta.com/contacto/" TargetMode="External" Id="rId31"/><Relationship Type="http://schemas.openxmlformats.org/officeDocument/2006/relationships/hyperlink" Target="https://www.linkedin.com/search/results/people/?keywords=Dipac%20Manta%20log%C3%ADstica%20bodega" TargetMode="External" Id="rId32"/><Relationship Type="http://schemas.openxmlformats.org/officeDocument/2006/relationships/hyperlink" Target="https://www.google.com/maps/search/Dipac%20Manta%20Manta%20Ecuador" TargetMode="External" Id="rId33"/><Relationship Type="http://schemas.openxmlformats.org/officeDocument/2006/relationships/hyperlink" Target="https://www.farmaciassantamartha.com" TargetMode="External" Id="rId34"/><Relationship Type="http://schemas.openxmlformats.org/officeDocument/2006/relationships/hyperlink" Target="https://www.linkedin.com/search/results/people/?keywords=Farmacias%20Santamartha%20log%C3%ADstica%20bodega" TargetMode="External" Id="rId35"/><Relationship Type="http://schemas.openxmlformats.org/officeDocument/2006/relationships/hyperlink" Target="https://www.google.com/maps/search/Farmacias%20Santamartha%20Portoviejo%20Ecuador" TargetMode="External" Id="rId36"/><Relationship Type="http://schemas.openxmlformats.org/officeDocument/2006/relationships/hyperlink" Target="https://www.lafabril.com.ec" TargetMode="External" Id="rId37"/><Relationship Type="http://schemas.openxmlformats.org/officeDocument/2006/relationships/hyperlink" Target="https://www.linkedin.com/search/results/people/?keywords=La%20Fabril%20log%C3%ADstica%20bodega" TargetMode="External" Id="rId38"/><Relationship Type="http://schemas.openxmlformats.org/officeDocument/2006/relationships/hyperlink" Target="https://www.google.com/maps/search/La%20Fabril%20Montecristi%20Ecuador" TargetMode="External" Id="rId39"/><Relationship Type="http://schemas.openxmlformats.org/officeDocument/2006/relationships/hyperlink" Target="https://www.cartopel.com" TargetMode="External" Id="rId40"/><Relationship Type="http://schemas.openxmlformats.org/officeDocument/2006/relationships/hyperlink" Target="https://www.cartopel.com/contactos/" TargetMode="External" Id="rId41"/><Relationship Type="http://schemas.openxmlformats.org/officeDocument/2006/relationships/hyperlink" Target="https://www.linkedin.com/search/results/people/?keywords=Cartopel%20log%C3%ADstica%20bodega" TargetMode="External" Id="rId42"/><Relationship Type="http://schemas.openxmlformats.org/officeDocument/2006/relationships/hyperlink" Target="https://www.google.com/maps/search/Cartopel%20Cuenca%20Ecuador" TargetMode="External" Id="rId43"/><Relationship Type="http://schemas.openxmlformats.org/officeDocument/2006/relationships/hyperlink" Target="https://www.gerardoortiz.com" TargetMode="External" Id="rId44"/><Relationship Type="http://schemas.openxmlformats.org/officeDocument/2006/relationships/hyperlink" Target="https://www.linkedin.com/search/results/people/?keywords=Gerardo%20Ortiz%20e%20Hijos%20log%C3%ADstica%20bodega" TargetMode="External" Id="rId45"/><Relationship Type="http://schemas.openxmlformats.org/officeDocument/2006/relationships/hyperlink" Target="https://www.google.com/maps/search/Gerardo%20Ortiz%20e%20Hijos%20Cuenca%20Ecuador" TargetMode="External" Id="rId46"/><Relationship Type="http://schemas.openxmlformats.org/officeDocument/2006/relationships/hyperlink" Target="https://www.graiman.com" TargetMode="External" Id="rId47"/><Relationship Type="http://schemas.openxmlformats.org/officeDocument/2006/relationships/hyperlink" Target="https://www.graiman.com/contacto" TargetMode="External" Id="rId48"/><Relationship Type="http://schemas.openxmlformats.org/officeDocument/2006/relationships/hyperlink" Target="https://www.linkedin.com/search/results/people/?keywords=Graiman%20log%C3%ADstica%20bodega" TargetMode="External" Id="rId49"/><Relationship Type="http://schemas.openxmlformats.org/officeDocument/2006/relationships/hyperlink" Target="https://www.google.com/maps/search/Graiman%20Cuenca%20Ecuador" TargetMode="External" Id="rId50"/><Relationship Type="http://schemas.openxmlformats.org/officeDocument/2006/relationships/hyperlink" Target="https://www.indurama.com" TargetMode="External" Id="rId51"/><Relationship Type="http://schemas.openxmlformats.org/officeDocument/2006/relationships/hyperlink" Target="https://www.indurama.com/contact-us" TargetMode="External" Id="rId52"/><Relationship Type="http://schemas.openxmlformats.org/officeDocument/2006/relationships/hyperlink" Target="https://www.linkedin.com/search/results/people/?keywords=Indurama%20log%C3%ADstica%20bodega" TargetMode="External" Id="rId53"/><Relationship Type="http://schemas.openxmlformats.org/officeDocument/2006/relationships/hyperlink" Target="https://www.google.com/maps/search/Indurama%20Cuenca%20Ecuador" TargetMode="External" Id="rId54"/><Relationship Type="http://schemas.openxmlformats.org/officeDocument/2006/relationships/hyperlink" Target="https://www.marcimex.com" TargetMode="External" Id="rId55"/><Relationship Type="http://schemas.openxmlformats.org/officeDocument/2006/relationships/hyperlink" Target="https://www.linkedin.com/search/results/people/?keywords=Marcimex%20log%C3%ADstica%20bodega" TargetMode="External" Id="rId56"/><Relationship Type="http://schemas.openxmlformats.org/officeDocument/2006/relationships/hyperlink" Target="https://www.google.com/maps/search/Marcimex%20Cuenca%20Ecuador" TargetMode="External" Id="rId57"/><Relationship Type="http://schemas.openxmlformats.org/officeDocument/2006/relationships/hyperlink" Target="https://www.linkedin.com/search/results/people/?keywords=Distribuidora%20Suprice%20log%C3%ADstica%20bodega" TargetMode="External" Id="rId58"/><Relationship Type="http://schemas.openxmlformats.org/officeDocument/2006/relationships/hyperlink" Target="https://www.google.com/maps/search/Distribuidora%20Suprice%20Tulc%C3%A1n%20Ecuador" TargetMode="External" Id="rId59"/><Relationship Type="http://schemas.openxmlformats.org/officeDocument/2006/relationships/hyperlink" Target="https://www.novacero.com" TargetMode="External" Id="rId60"/><Relationship Type="http://schemas.openxmlformats.org/officeDocument/2006/relationships/hyperlink" Target="https://www.novacero.com/contacto/" TargetMode="External" Id="rId61"/><Relationship Type="http://schemas.openxmlformats.org/officeDocument/2006/relationships/hyperlink" Target="https://www.linkedin.com/search/results/people/?keywords=Novacero%20log%C3%ADstica%20bodega" TargetMode="External" Id="rId62"/><Relationship Type="http://schemas.openxmlformats.org/officeDocument/2006/relationships/hyperlink" Target="https://www.google.com/maps/search/Novacero%20Lasso%20Ecuador" TargetMode="External" Id="rId63"/><Relationship Type="http://schemas.openxmlformats.org/officeDocument/2006/relationships/hyperlink" Target="https://www.ile.com.ec" TargetMode="External" Id="rId64"/><Relationship Type="http://schemas.openxmlformats.org/officeDocument/2006/relationships/hyperlink" Target="https://www.linkedin.com/search/results/people/?keywords=Industrial%20Lojana%20de%20Especer%C3%ADas%20log%C3%ADstica%20bodega" TargetMode="External" Id="rId65"/><Relationship Type="http://schemas.openxmlformats.org/officeDocument/2006/relationships/hyperlink" Target="https://www.google.com/maps/search/Industrial%20Lojana%20de%20Especer%C3%ADas%20Loja%20Ecuador" TargetMode="External" Id="rId66"/><Relationship Type="http://schemas.openxmlformats.org/officeDocument/2006/relationships/hyperlink" Target="https://www.corporacionfavorita.com" TargetMode="External" Id="rId67"/><Relationship Type="http://schemas.openxmlformats.org/officeDocument/2006/relationships/hyperlink" Target="https://www.linkedin.com/search/results/people/?keywords=Corporaci%C3%B3n%20Favorita%20log%C3%ADstica%20bodega" TargetMode="External" Id="rId68"/><Relationship Type="http://schemas.openxmlformats.org/officeDocument/2006/relationships/hyperlink" Target="https://www.google.com/maps/search/Corporaci%C3%B3n%20Favorita%20Quito%20Ecuador" TargetMode="External" Id="rId69"/><Relationship Type="http://schemas.openxmlformats.org/officeDocument/2006/relationships/hyperlink" Target="https://www.corporaciongpf.com" TargetMode="External" Id="rId70"/><Relationship Type="http://schemas.openxmlformats.org/officeDocument/2006/relationships/hyperlink" Target="https://www.linkedin.com/search/results/people/?keywords=Corporaci%C3%B3n%20GPF%20log%C3%ADstica%20bodega" TargetMode="External" Id="rId71"/><Relationship Type="http://schemas.openxmlformats.org/officeDocument/2006/relationships/hyperlink" Target="https://www.google.com/maps/search/Corporaci%C3%B3n%20GPF%20Quito%20Ecuador" TargetMode="External" Id="rId72"/><Relationship Type="http://schemas.openxmlformats.org/officeDocument/2006/relationships/hyperlink" Target="https://www.farmaenlace.com" TargetMode="External" Id="rId73"/><Relationship Type="http://schemas.openxmlformats.org/officeDocument/2006/relationships/hyperlink" Target="https://www.linkedin.com/search/results/people/?keywords=Farmaenlace%20log%C3%ADstica%20bodega" TargetMode="External" Id="rId74"/><Relationship Type="http://schemas.openxmlformats.org/officeDocument/2006/relationships/hyperlink" Target="https://www.google.com/maps/search/Farmaenlace%20Quito%20Ecuador" TargetMode="External" Id="rId75"/><Relationship Type="http://schemas.openxmlformats.org/officeDocument/2006/relationships/hyperlink" Target="https://www.kywi.com.ec" TargetMode="External" Id="rId76"/><Relationship Type="http://schemas.openxmlformats.org/officeDocument/2006/relationships/hyperlink" Target="https://www.linkedin.com/search/results/people/?keywords=Kywi%20log%C3%ADstica%20bodega" TargetMode="External" Id="rId77"/><Relationship Type="http://schemas.openxmlformats.org/officeDocument/2006/relationships/hyperlink" Target="https://www.google.com/maps/search/Kywi%20Quito%20Ecuador" TargetMode="External" Id="rId78"/><Relationship Type="http://schemas.openxmlformats.org/officeDocument/2006/relationships/hyperlink" Target="https://www.leterago.com.ec" TargetMode="External" Id="rId79"/><Relationship Type="http://schemas.openxmlformats.org/officeDocument/2006/relationships/hyperlink" Target="https://www.linkedin.com/search/results/people/?keywords=Leterago%20del%20Ecuador%20log%C3%ADstica%20bodega" TargetMode="External" Id="rId80"/><Relationship Type="http://schemas.openxmlformats.org/officeDocument/2006/relationships/hyperlink" Target="https://www.google.com/maps/search/Leterago%20del%20Ecuador%20Quito%20Ecuador" TargetMode="External" Id="rId81"/><Relationship Type="http://schemas.openxmlformats.org/officeDocument/2006/relationships/hyperlink" Target="https://www.pronaca.com" TargetMode="External" Id="rId82"/><Relationship Type="http://schemas.openxmlformats.org/officeDocument/2006/relationships/hyperlink" Target="https://pronaca.com/contactanos/" TargetMode="External" Id="rId83"/><Relationship Type="http://schemas.openxmlformats.org/officeDocument/2006/relationships/hyperlink" Target="https://www.linkedin.com/search/results/people/?keywords=Pronaca%20log%C3%ADstica%20bodega" TargetMode="External" Id="rId84"/><Relationship Type="http://schemas.openxmlformats.org/officeDocument/2006/relationships/hyperlink" Target="https://www.google.com/maps/search/Pronaca%20Quito%20Ecuador" TargetMode="External" Id="rId85"/><Relationship Type="http://schemas.openxmlformats.org/officeDocument/2006/relationships/hyperlink" Target="https://www.quifatex.com" TargetMode="External" Id="rId86"/><Relationship Type="http://schemas.openxmlformats.org/officeDocument/2006/relationships/hyperlink" Target="https://quifatex.com/es/contactanos" TargetMode="External" Id="rId87"/><Relationship Type="http://schemas.openxmlformats.org/officeDocument/2006/relationships/hyperlink" Target="https://www.linkedin.com/search/results/people/?keywords=Quifatex%20log%C3%ADstica%20bodega" TargetMode="External" Id="rId88"/><Relationship Type="http://schemas.openxmlformats.org/officeDocument/2006/relationships/hyperlink" Target="https://www.google.com/maps/search/Quifatex%20Quito%20Ecuador" TargetMode="External" Id="rId89"/><Relationship Type="http://schemas.openxmlformats.org/officeDocument/2006/relationships/hyperlink" Target="https://www.ambacar.ec" TargetMode="External" Id="rId90"/><Relationship Type="http://schemas.openxmlformats.org/officeDocument/2006/relationships/hyperlink" Target="https://www.linkedin.com/search/results/people/?keywords=Ambacar%20log%C3%ADstica%20bodega" TargetMode="External" Id="rId91"/><Relationship Type="http://schemas.openxmlformats.org/officeDocument/2006/relationships/hyperlink" Target="https://www.google.com/maps/search/Ambacar%20Ambato%20Ecuador" TargetMode="External" Id="rId92"/><Relationship Type="http://schemas.openxmlformats.org/officeDocument/2006/relationships/hyperlink" Target="https://www.megaprofer.com" TargetMode="External" Id="rId93"/><Relationship Type="http://schemas.openxmlformats.org/officeDocument/2006/relationships/hyperlink" Target="https://www.megaprofer.com/contact.html" TargetMode="External" Id="rId94"/><Relationship Type="http://schemas.openxmlformats.org/officeDocument/2006/relationships/hyperlink" Target="https://www.linkedin.com/search/results/people/?keywords=Megaprofer%20log%C3%ADstica%20bodega" TargetMode="External" Id="rId95"/><Relationship Type="http://schemas.openxmlformats.org/officeDocument/2006/relationships/hyperlink" Target="https://www.google.com/maps/search/Megaprofer%20Ambato%20Ecuador" TargetMode="External" Id="rId96"/><Relationship Type="http://schemas.openxmlformats.org/officeDocument/2006/relationships/hyperlink" Target="https://www.plasticaucho.com" TargetMode="External" Id="rId97"/><Relationship Type="http://schemas.openxmlformats.org/officeDocument/2006/relationships/hyperlink" Target="https://www.linkedin.com/search/results/people/?keywords=Plasticaucho%20Industrial%20log%C3%ADstica%20bodega" TargetMode="External" Id="rId98"/><Relationship Type="http://schemas.openxmlformats.org/officeDocument/2006/relationships/hyperlink" Target="https://www.google.com/maps/search/Plasticaucho%20Industrial%20Ambato%20Ecuador" TargetMode="External" Id="rId99"/><Relationship Type="http://schemas.openxmlformats.org/officeDocument/2006/relationships/hyperlink" Target="https://www.linkedin.com/search/results/people/?keywords=Rom%C3%A1n%20Hermanos%20log%C3%ADstica%20bodega" TargetMode="External" Id="rId100"/><Relationship Type="http://schemas.openxmlformats.org/officeDocument/2006/relationships/hyperlink" Target="https://www.google.com/maps/search/Rom%C3%A1n%20Hermanos%20Lago%20Agrio%20Ecuador" TargetMode="External" Id="rId101"/><Relationship Type="http://schemas.openxmlformats.org/officeDocument/2006/relationships/hyperlink" Target="https://www.ecuacorriente.com" TargetMode="External" Id="rId102"/><Relationship Type="http://schemas.openxmlformats.org/officeDocument/2006/relationships/hyperlink" Target="https://www.linkedin.com/search/results/people/?keywords=Ecuacorriente%20log%C3%ADstica%20bodega" TargetMode="External" Id="rId103"/><Relationship Type="http://schemas.openxmlformats.org/officeDocument/2006/relationships/hyperlink" Target="https://www.google.com/maps/search/Ecuacorriente%20El%20Pangui%20Ecuador" TargetMode="External" Id="rId104"/><Relationship Type="http://schemas.openxmlformats.org/officeDocument/2006/relationships/hyperlink" Target="https://www.linkedin.com/search/results/people/?keywords=Promaoro%20log%C3%ADstica%20bodega" TargetMode="External" Id="rId105"/><Relationship Type="http://schemas.openxmlformats.org/officeDocument/2006/relationships/hyperlink" Target="https://www.google.com/maps/search/Promaoro%20Machala%20Ecuador" TargetMode="External" Id="rId106"/><Relationship Type="http://schemas.openxmlformats.org/officeDocument/2006/relationships/hyperlink" Target="https://www.palesema.com" TargetMode="External" Id="rId107"/><Relationship Type="http://schemas.openxmlformats.org/officeDocument/2006/relationships/hyperlink" Target="https://www.linkedin.com/search/results/people/?keywords=Palmar%20de%20Los%20Esteros%20log%C3%ADstica%20bodega" TargetMode="External" Id="rId108"/><Relationship Type="http://schemas.openxmlformats.org/officeDocument/2006/relationships/hyperlink" Target="https://www.google.com/maps/search/Palmar%20de%20Los%20Esteros%20Esmeraldas%20Ecuador" TargetMode="External" Id="rId109"/><Relationship Type="http://schemas.openxmlformats.org/officeDocument/2006/relationships/hyperlink" Target="https://www.deprati.com.ec" TargetMode="External" Id="rId110"/><Relationship Type="http://schemas.openxmlformats.org/officeDocument/2006/relationships/hyperlink" Target="https://www.linkedin.com/search/results/people/?keywords=Almacenes%20De%20Prati%20log%C3%ADstica%20bodega" TargetMode="External" Id="rId111"/><Relationship Type="http://schemas.openxmlformats.org/officeDocument/2006/relationships/hyperlink" Target="https://www.google.com/maps/search/Almacenes%20De%20Prati%20Guayaquil%20Ecuador" TargetMode="External" Id="rId112"/><Relationship Type="http://schemas.openxmlformats.org/officeDocument/2006/relationships/hyperlink" Target="https://www.almaceneslaganga.com" TargetMode="External" Id="rId113"/><Relationship Type="http://schemas.openxmlformats.org/officeDocument/2006/relationships/hyperlink" Target="https://www.linkedin.com/search/results/people/?keywords=Almacenes%20La%20Ganga%20log%C3%ADstica%20bodega" TargetMode="External" Id="rId114"/><Relationship Type="http://schemas.openxmlformats.org/officeDocument/2006/relationships/hyperlink" Target="https://www.google.com/maps/search/Almacenes%20La%20Ganga%20Guayaquil%20Ecuador" TargetMode="External" Id="rId115"/><Relationship Type="http://schemas.openxmlformats.org/officeDocument/2006/relationships/hyperlink" Target="https://www.artefacta.com" TargetMode="External" Id="rId116"/><Relationship Type="http://schemas.openxmlformats.org/officeDocument/2006/relationships/hyperlink" Target="https://www.linkedin.com/search/results/people/?keywords=Artefacta%20log%C3%ADstica%20bodega" TargetMode="External" Id="rId117"/><Relationship Type="http://schemas.openxmlformats.org/officeDocument/2006/relationships/hyperlink" Target="https://www.google.com/maps/search/Artefacta%20Guayaquil%20Ecuador" TargetMode="External" Id="rId118"/><Relationship Type="http://schemas.openxmlformats.org/officeDocument/2006/relationships/hyperlink" Target="https://www.cervecerianacional.ec" TargetMode="External" Id="rId119"/><Relationship Type="http://schemas.openxmlformats.org/officeDocument/2006/relationships/hyperlink" Target="https://www.linkedin.com/search/results/people/?keywords=Cervecer%C3%ADa%20Nacional%20log%C3%ADstica%20bodega" TargetMode="External" Id="rId120"/><Relationship Type="http://schemas.openxmlformats.org/officeDocument/2006/relationships/hyperlink" Target="https://www.google.com/maps/search/Cervecer%C3%ADa%20Nacional%20Guayaquil%20Ecuador" TargetMode="External" Id="rId121"/><Relationship Type="http://schemas.openxmlformats.org/officeDocument/2006/relationships/hyperlink" Target="https://www.cgsa.com.ec" TargetMode="External" Id="rId122"/><Relationship Type="http://schemas.openxmlformats.org/officeDocument/2006/relationships/hyperlink" Target="https://www.linkedin.com/search/results/people/?keywords=Contecon%20Guayaquil%20log%C3%ADstica%20bodega" TargetMode="External" Id="rId123"/><Relationship Type="http://schemas.openxmlformats.org/officeDocument/2006/relationships/hyperlink" Target="https://www.google.com/maps/search/Contecon%20Guayaquil%20Guayaquil%20Ecuador" TargetMode="External" Id="rId124"/><Relationship Type="http://schemas.openxmlformats.org/officeDocument/2006/relationships/hyperlink" Target="https://www.electrocable.com" TargetMode="External" Id="rId125"/><Relationship Type="http://schemas.openxmlformats.org/officeDocument/2006/relationships/hyperlink" Target="https://www.linkedin.com/search/results/people/?keywords=Electrocables%20log%C3%ADstica%20bodega" TargetMode="External" Id="rId126"/><Relationship Type="http://schemas.openxmlformats.org/officeDocument/2006/relationships/hyperlink" Target="https://www.google.com/maps/search/Electrocables%20Guayaquil%20Ecuador" TargetMode="External" Id="rId127"/><Relationship Type="http://schemas.openxmlformats.org/officeDocument/2006/relationships/hyperlink" Target="https://www.expalsa.com" TargetMode="External" Id="rId128"/><Relationship Type="http://schemas.openxmlformats.org/officeDocument/2006/relationships/hyperlink" Target="https://www.linkedin.com/search/results/people/?keywords=Expalsa%20log%C3%ADstica%20bodega" TargetMode="External" Id="rId129"/><Relationship Type="http://schemas.openxmlformats.org/officeDocument/2006/relationships/hyperlink" Target="https://www.google.com/maps/search/Expalsa%20Guayaquil%20Ecuador" TargetMode="External" Id="rId130"/><Relationship Type="http://schemas.openxmlformats.org/officeDocument/2006/relationships/hyperlink" Target="https://www.disensa.com.ec" TargetMode="External" Id="rId131"/><Relationship Type="http://schemas.openxmlformats.org/officeDocument/2006/relationships/hyperlink" Target="https://www.linkedin.com/search/results/people/?keywords=Holcim%20Ecuador%20/%20Disensa%20log%C3%ADstica%20bodega" TargetMode="External" Id="rId132"/><Relationship Type="http://schemas.openxmlformats.org/officeDocument/2006/relationships/hyperlink" Target="https://www.google.com/maps/search/Holcim%20Ecuador%20/%20Disensa%20Guayaquil%20Ecuador" TargetMode="External" Id="rId133"/><Relationship Type="http://schemas.openxmlformats.org/officeDocument/2006/relationships/hyperlink" Target="https://www.ipac-acero.com" TargetMode="External" Id="rId134"/><Relationship Type="http://schemas.openxmlformats.org/officeDocument/2006/relationships/hyperlink" Target="https://www.linkedin.com/search/results/people/?keywords=Ipac%20log%C3%ADstica%20bodega" TargetMode="External" Id="rId135"/><Relationship Type="http://schemas.openxmlformats.org/officeDocument/2006/relationships/hyperlink" Target="https://www.google.com/maps/search/Ipac%20Guayaquil%20Ecuador" TargetMode="External" Id="rId136"/><Relationship Type="http://schemas.openxmlformats.org/officeDocument/2006/relationships/hyperlink" Target="https://www.megahierro.com" TargetMode="External" Id="rId137"/><Relationship Type="http://schemas.openxmlformats.org/officeDocument/2006/relationships/hyperlink" Target="https://www.linkedin.com/search/results/people/?keywords=Megahierro%20log%C3%ADstica%20bodega" TargetMode="External" Id="rId138"/><Relationship Type="http://schemas.openxmlformats.org/officeDocument/2006/relationships/hyperlink" Target="https://www.google.com/maps/search/Megahierro%20Guayaquil%20Ecuador" TargetMode="External" Id="rId139"/><Relationship Type="http://schemas.openxmlformats.org/officeDocument/2006/relationships/hyperlink" Target="https://www.nirsa.com" TargetMode="External" Id="rId140"/><Relationship Type="http://schemas.openxmlformats.org/officeDocument/2006/relationships/hyperlink" Target="https://www.linkedin.com/search/results/people/?keywords=Nirsa%20log%C3%ADstica%20bodega" TargetMode="External" Id="rId141"/><Relationship Type="http://schemas.openxmlformats.org/officeDocument/2006/relationships/hyperlink" Target="https://www.google.com/maps/search/Nirsa%20Posorja%20Ecuador" TargetMode="External" Id="rId142"/><Relationship Type="http://schemas.openxmlformats.org/officeDocument/2006/relationships/hyperlink" Target="https://www.omarsa.com.ec" TargetMode="External" Id="rId143"/><Relationship Type="http://schemas.openxmlformats.org/officeDocument/2006/relationships/hyperlink" Target="https://www.linkedin.com/search/results/people/?keywords=Omarsa%20log%C3%ADstica%20bodega" TargetMode="External" Id="rId144"/><Relationship Type="http://schemas.openxmlformats.org/officeDocument/2006/relationships/hyperlink" Target="https://www.google.com/maps/search/Omarsa%20Dur%C3%A1n%20Ecuador" TargetMode="External" Id="rId145"/><Relationship Type="http://schemas.openxmlformats.org/officeDocument/2006/relationships/hyperlink" Target="https://www.pinturasunidas.com" TargetMode="External" Id="rId146"/><Relationship Type="http://schemas.openxmlformats.org/officeDocument/2006/relationships/hyperlink" Target="https://www.linkedin.com/search/results/people/?keywords=Pinturas%20Unidas%20log%C3%ADstica%20bodega" TargetMode="External" Id="rId147"/><Relationship Type="http://schemas.openxmlformats.org/officeDocument/2006/relationships/hyperlink" Target="https://www.google.com/maps/search/Pinturas%20Unidas%20Guayaquil%20Ecuador" TargetMode="External" Id="rId148"/><Relationship Type="http://schemas.openxmlformats.org/officeDocument/2006/relationships/hyperlink" Target="https://www.pica.com.ec" TargetMode="External" Id="rId149"/><Relationship Type="http://schemas.openxmlformats.org/officeDocument/2006/relationships/hyperlink" Target="https://www.linkedin.com/search/results/people/?keywords=Pl%C3%A1sticos%20Industriales%20log%C3%ADstica%20bodega" TargetMode="External" Id="rId150"/><Relationship Type="http://schemas.openxmlformats.org/officeDocument/2006/relationships/hyperlink" Target="https://www.google.com/maps/search/Pl%C3%A1sticos%20Industriales%20Guayaquil%20Ecuador" TargetMode="External" Id="rId151"/><Relationship Type="http://schemas.openxmlformats.org/officeDocument/2006/relationships/hyperlink" Target="https://www.reybanpac.com" TargetMode="External" Id="rId152"/><Relationship Type="http://schemas.openxmlformats.org/officeDocument/2006/relationships/hyperlink" Target="https://www.linkedin.com/search/results/people/?keywords=Reybanpac%20log%C3%ADstica%20bodega" TargetMode="External" Id="rId153"/><Relationship Type="http://schemas.openxmlformats.org/officeDocument/2006/relationships/hyperlink" Target="https://www.google.com/maps/search/Reybanpac%20Guayaquil%20Ecuador" TargetMode="External" Id="rId154"/><Relationship Type="http://schemas.openxmlformats.org/officeDocument/2006/relationships/hyperlink" Target="https://www.sumesa.com.ec" TargetMode="External" Id="rId155"/><Relationship Type="http://schemas.openxmlformats.org/officeDocument/2006/relationships/hyperlink" Target="https://www.linkedin.com/search/results/people/?keywords=Sumesa%20log%C3%ADstica%20bodega" TargetMode="External" Id="rId156"/><Relationship Type="http://schemas.openxmlformats.org/officeDocument/2006/relationships/hyperlink" Target="https://www.google.com/maps/search/Sumesa%20Guayaquil%20Ecuador" TargetMode="External" Id="rId157"/><Relationship Type="http://schemas.openxmlformats.org/officeDocument/2006/relationships/hyperlink" Target="https://www.linkedin.com/search/results/people/?keywords=Extractora%20Quevepalma%20log%C3%ADstica%20bodega" TargetMode="External" Id="rId158"/><Relationship Type="http://schemas.openxmlformats.org/officeDocument/2006/relationships/hyperlink" Target="https://www.google.com/maps/search/Extractora%20Quevepalma%20Quevedo%20Ecuador" TargetMode="External" Id="rId159"/><Relationship Type="http://schemas.openxmlformats.org/officeDocument/2006/relationships/hyperlink" Target="https://www.asiservy.com" TargetMode="External" Id="rId160"/><Relationship Type="http://schemas.openxmlformats.org/officeDocument/2006/relationships/hyperlink" Target="https://www.linkedin.com/search/results/people/?keywords=Asiservy%20log%C3%ADstica%20bodega" TargetMode="External" Id="rId161"/><Relationship Type="http://schemas.openxmlformats.org/officeDocument/2006/relationships/hyperlink" Target="https://www.google.com/maps/search/Asiservy%20Manta%20Ecuador" TargetMode="External" Id="rId162"/><Relationship Type="http://schemas.openxmlformats.org/officeDocument/2006/relationships/hyperlink" Target="https://www.conservasisabel.com.ec" TargetMode="External" Id="rId163"/><Relationship Type="http://schemas.openxmlformats.org/officeDocument/2006/relationships/hyperlink" Target="https://www.linkedin.com/search/results/people/?keywords=Conservas%20Isabel%20Ecuatoriana%20log%C3%ADstica%20bodega" TargetMode="External" Id="rId164"/><Relationship Type="http://schemas.openxmlformats.org/officeDocument/2006/relationships/hyperlink" Target="https://www.google.com/maps/search/Conservas%20Isabel%20Ecuatoriana%20Manta%20Ecuador" TargetMode="External" Id="rId165"/><Relationship Type="http://schemas.openxmlformats.org/officeDocument/2006/relationships/hyperlink" Target="https://www.eurofish.com.ec" TargetMode="External" Id="rId166"/><Relationship Type="http://schemas.openxmlformats.org/officeDocument/2006/relationships/hyperlink" Target="https://www.linkedin.com/search/results/people/?keywords=Eurofish%20log%C3%ADstica%20bodega" TargetMode="External" Id="rId167"/><Relationship Type="http://schemas.openxmlformats.org/officeDocument/2006/relationships/hyperlink" Target="https://www.google.com/maps/search/Eurofish%20Manta%20Ecuador" TargetMode="External" Id="rId168"/><Relationship Type="http://schemas.openxmlformats.org/officeDocument/2006/relationships/hyperlink" Target="https://www.ales.com.ec" TargetMode="External" Id="rId169"/><Relationship Type="http://schemas.openxmlformats.org/officeDocument/2006/relationships/hyperlink" Target="https://www.linkedin.com/search/results/people/?keywords=Industrias%20Ales%20log%C3%ADstica%20bodega" TargetMode="External" Id="rId170"/><Relationship Type="http://schemas.openxmlformats.org/officeDocument/2006/relationships/hyperlink" Target="https://www.google.com/maps/search/Industrias%20Ales%20Manta%20Ecuador" TargetMode="External" Id="rId171"/><Relationship Type="http://schemas.openxmlformats.org/officeDocument/2006/relationships/hyperlink" Target="https://www.marbelize.com" TargetMode="External" Id="rId172"/><Relationship Type="http://schemas.openxmlformats.org/officeDocument/2006/relationships/hyperlink" Target="https://www.linkedin.com/search/results/people/?keywords=Marbelize%20log%C3%ADstica%20bodega" TargetMode="External" Id="rId173"/><Relationship Type="http://schemas.openxmlformats.org/officeDocument/2006/relationships/hyperlink" Target="https://www.google.com/maps/search/Marbelize%20Manta%20Ecuador" TargetMode="External" Id="rId174"/><Relationship Type="http://schemas.openxmlformats.org/officeDocument/2006/relationships/hyperlink" Target="https://www.seafman.com" TargetMode="External" Id="rId175"/><Relationship Type="http://schemas.openxmlformats.org/officeDocument/2006/relationships/hyperlink" Target="https://www.linkedin.com/search/results/people/?keywords=Seafman%20log%C3%ADstica%20bodega" TargetMode="External" Id="rId176"/><Relationship Type="http://schemas.openxmlformats.org/officeDocument/2006/relationships/hyperlink" Target="https://www.google.com/maps/search/Seafman%20Manta%20Ecuador" TargetMode="External" Id="rId177"/><Relationship Type="http://schemas.openxmlformats.org/officeDocument/2006/relationships/hyperlink" Target="https://www.tecopesca.com" TargetMode="External" Id="rId178"/><Relationship Type="http://schemas.openxmlformats.org/officeDocument/2006/relationships/hyperlink" Target="https://www.linkedin.com/search/results/people/?keywords=Tecopesca%20log%C3%ADstica%20bodega" TargetMode="External" Id="rId179"/><Relationship Type="http://schemas.openxmlformats.org/officeDocument/2006/relationships/hyperlink" Target="https://www.google.com/maps/search/Tecopesca%20Manta%20Ecuador" TargetMode="External" Id="rId180"/><Relationship Type="http://schemas.openxmlformats.org/officeDocument/2006/relationships/hyperlink" Target="https://www.colineal.com" TargetMode="External" Id="rId181"/><Relationship Type="http://schemas.openxmlformats.org/officeDocument/2006/relationships/hyperlink" Target="https://www.linkedin.com/search/results/people/?keywords=Colineal%20log%C3%ADstica%20bodega" TargetMode="External" Id="rId182"/><Relationship Type="http://schemas.openxmlformats.org/officeDocument/2006/relationships/hyperlink" Target="https://www.google.com/maps/search/Colineal%20Cuenca%20Ecuador" TargetMode="External" Id="rId183"/><Relationship Type="http://schemas.openxmlformats.org/officeDocument/2006/relationships/hyperlink" Target="https://www.continentaltire.com.ec" TargetMode="External" Id="rId184"/><Relationship Type="http://schemas.openxmlformats.org/officeDocument/2006/relationships/hyperlink" Target="https://www.linkedin.com/search/results/people/?keywords=Continental%20Tire%20Andina%20log%C3%ADstica%20bodega" TargetMode="External" Id="rId185"/><Relationship Type="http://schemas.openxmlformats.org/officeDocument/2006/relationships/hyperlink" Target="https://www.google.com/maps/search/Continental%20Tire%20Andina%20Cuenca%20Ecuador" TargetMode="External" Id="rId186"/><Relationship Type="http://schemas.openxmlformats.org/officeDocument/2006/relationships/hyperlink" Target="https://www.fibroacero.com" TargetMode="External" Id="rId187"/><Relationship Type="http://schemas.openxmlformats.org/officeDocument/2006/relationships/hyperlink" Target="https://www.linkedin.com/search/results/people/?keywords=Fibroacero%20log%C3%ADstica%20bodega" TargetMode="External" Id="rId188"/><Relationship Type="http://schemas.openxmlformats.org/officeDocument/2006/relationships/hyperlink" Target="https://www.google.com/maps/search/Fibroacero%20Cuenca%20Ecuador" TargetMode="External" Id="rId189"/><Relationship Type="http://schemas.openxmlformats.org/officeDocument/2006/relationships/hyperlink" Target="https://www.italimentos.com" TargetMode="External" Id="rId190"/><Relationship Type="http://schemas.openxmlformats.org/officeDocument/2006/relationships/hyperlink" Target="https://www.linkedin.com/search/results/people/?keywords=Italimentos%20log%C3%ADstica%20bodega" TargetMode="External" Id="rId191"/><Relationship Type="http://schemas.openxmlformats.org/officeDocument/2006/relationships/hyperlink" Target="https://www.google.com/maps/search/Italimentos%20Cuenca%20Ecuador" TargetMode="External" Id="rId192"/><Relationship Type="http://schemas.openxmlformats.org/officeDocument/2006/relationships/hyperlink" Target="https://www.salinerito.com" TargetMode="External" Id="rId193"/><Relationship Type="http://schemas.openxmlformats.org/officeDocument/2006/relationships/hyperlink" Target="https://www.linkedin.com/search/results/people/?keywords=Salinerito%20log%C3%ADstica%20bodega" TargetMode="External" Id="rId194"/><Relationship Type="http://schemas.openxmlformats.org/officeDocument/2006/relationships/hyperlink" Target="https://www.google.com/maps/search/Salinerito%20Salinas%20de%20Guaranda%20Ecuador" TargetMode="External" Id="rId195"/><Relationship Type="http://schemas.openxmlformats.org/officeDocument/2006/relationships/hyperlink" Target="https://www.linkedin.com/search/results/people/?keywords=Agroaz%C3%BAcar%20Ecuador%20log%C3%ADstica%20bodega" TargetMode="External" Id="rId196"/><Relationship Type="http://schemas.openxmlformats.org/officeDocument/2006/relationships/hyperlink" Target="https://www.google.com/maps/search/Agroaz%C3%BAcar%20Ecuador%20La%20Troncal%20Ecuador" TargetMode="External" Id="rId197"/><Relationship Type="http://schemas.openxmlformats.org/officeDocument/2006/relationships/hyperlink" Target="https://www.linkedin.com/search/results/people/?keywords=Cadena%20de%20Farmacias%20Suiza%20log%C3%ADstica%20bodega" TargetMode="External" Id="rId198"/><Relationship Type="http://schemas.openxmlformats.org/officeDocument/2006/relationships/hyperlink" Target="https://www.google.com/maps/search/Cadena%20de%20Farmacias%20Suiza%20Azogues%20Ecuador" TargetMode="External" Id="rId199"/><Relationship Type="http://schemas.openxmlformats.org/officeDocument/2006/relationships/hyperlink" Target="https://www.tubasec.com" TargetMode="External" Id="rId200"/><Relationship Type="http://schemas.openxmlformats.org/officeDocument/2006/relationships/hyperlink" Target="https://www.linkedin.com/search/results/people/?keywords=Tubasec%20log%C3%ADstica%20bodega" TargetMode="External" Id="rId201"/><Relationship Type="http://schemas.openxmlformats.org/officeDocument/2006/relationships/hyperlink" Target="https://www.google.com/maps/search/Tubasec%20Riobamba%20Ecuador" TargetMode="External" Id="rId202"/><Relationship Type="http://schemas.openxmlformats.org/officeDocument/2006/relationships/hyperlink" Target="https://www.ucem.com.ec" TargetMode="External" Id="rId203"/><Relationship Type="http://schemas.openxmlformats.org/officeDocument/2006/relationships/hyperlink" Target="https://www.linkedin.com/search/results/people/?keywords=Uni%C3%B3n%20Cementera%20Nacional%20log%C3%ADstica%20bodega" TargetMode="External" Id="rId204"/><Relationship Type="http://schemas.openxmlformats.org/officeDocument/2006/relationships/hyperlink" Target="https://www.google.com/maps/search/Uni%C3%B3n%20Cementera%20Nacional%20Riobamba%20Ecuador" TargetMode="External" Id="rId205"/><Relationship Type="http://schemas.openxmlformats.org/officeDocument/2006/relationships/hyperlink" Target="https://www.provefrut.com" TargetMode="External" Id="rId206"/><Relationship Type="http://schemas.openxmlformats.org/officeDocument/2006/relationships/hyperlink" Target="https://www.linkedin.com/search/results/people/?keywords=Provefrut%20log%C3%ADstica%20bodega" TargetMode="External" Id="rId207"/><Relationship Type="http://schemas.openxmlformats.org/officeDocument/2006/relationships/hyperlink" Target="https://www.google.com/maps/search/Provefrut%20Lasso%20Ecuador" TargetMode="External" Id="rId208"/><Relationship Type="http://schemas.openxmlformats.org/officeDocument/2006/relationships/hyperlink" Target="https://www.falconfarms.com" TargetMode="External" Id="rId209"/><Relationship Type="http://schemas.openxmlformats.org/officeDocument/2006/relationships/hyperlink" Target="https://www.linkedin.com/search/results/people/?keywords=Falconfarms%20log%C3%ADstica%20bodega" TargetMode="External" Id="rId210"/><Relationship Type="http://schemas.openxmlformats.org/officeDocument/2006/relationships/hyperlink" Target="https://www.google.com/maps/search/Falconfarms%20Cayambe-Ibarra%20Ecuador" TargetMode="External" Id="rId211"/><Relationship Type="http://schemas.openxmlformats.org/officeDocument/2006/relationships/hyperlink" Target="https://www.floralp.com.ec" TargetMode="External" Id="rId212"/><Relationship Type="http://schemas.openxmlformats.org/officeDocument/2006/relationships/hyperlink" Target="https://www.linkedin.com/search/results/people/?keywords=Floralp%20log%C3%ADstica%20bodega" TargetMode="External" Id="rId213"/><Relationship Type="http://schemas.openxmlformats.org/officeDocument/2006/relationships/hyperlink" Target="https://www.google.com/maps/search/Floralp%20Ibarra%20Ecuador" TargetMode="External" Id="rId214"/><Relationship Type="http://schemas.openxmlformats.org/officeDocument/2006/relationships/hyperlink" Target="https://www.imbauto.com.ec" TargetMode="External" Id="rId215"/><Relationship Type="http://schemas.openxmlformats.org/officeDocument/2006/relationships/hyperlink" Target="https://www.linkedin.com/search/results/people/?keywords=Imbauto%20log%C3%ADstica%20bodega" TargetMode="External" Id="rId216"/><Relationship Type="http://schemas.openxmlformats.org/officeDocument/2006/relationships/hyperlink" Target="https://www.google.com/maps/search/Imbauto%20Ibarra%20Ecuador" TargetMode="External" Id="rId217"/><Relationship Type="http://schemas.openxmlformats.org/officeDocument/2006/relationships/hyperlink" Target="https://www.linkedin.com/search/results/people/?keywords=Farmacias%20Cuxibamba%20log%C3%ADstica%20bodega" TargetMode="External" Id="rId218"/><Relationship Type="http://schemas.openxmlformats.org/officeDocument/2006/relationships/hyperlink" Target="https://www.google.com/maps/search/Farmacias%20Cuxibamba%20Loja%20Ecuador" TargetMode="External" Id="rId219"/><Relationship Type="http://schemas.openxmlformats.org/officeDocument/2006/relationships/hyperlink" Target="https://www.malca.com.ec" TargetMode="External" Id="rId220"/><Relationship Type="http://schemas.openxmlformats.org/officeDocument/2006/relationships/hyperlink" Target="https://www.linkedin.com/search/results/people/?keywords=Monterrey%20Azucarera%20Lojana%20log%C3%ADstica%20bodega" TargetMode="External" Id="rId221"/><Relationship Type="http://schemas.openxmlformats.org/officeDocument/2006/relationships/hyperlink" Target="https://www.google.com/maps/search/Monterrey%20Azucarera%20Lojana%20Catamayo%20Ecuador" TargetMode="External" Id="rId222"/><Relationship Type="http://schemas.openxmlformats.org/officeDocument/2006/relationships/hyperlink" Target="https://www.acromax.com.ec" TargetMode="External" Id="rId223"/><Relationship Type="http://schemas.openxmlformats.org/officeDocument/2006/relationships/hyperlink" Target="https://www.linkedin.com/search/results/people/?keywords=Acromax%20log%C3%ADstica%20bodega" TargetMode="External" Id="rId224"/><Relationship Type="http://schemas.openxmlformats.org/officeDocument/2006/relationships/hyperlink" Target="https://www.google.com/maps/search/Acromax%20Quito%20Ecuador" TargetMode="External" Id="rId225"/><Relationship Type="http://schemas.openxmlformats.org/officeDocument/2006/relationships/hyperlink" Target="https://www.adelca.com" TargetMode="External" Id="rId226"/><Relationship Type="http://schemas.openxmlformats.org/officeDocument/2006/relationships/hyperlink" Target="https://www.linkedin.com/search/results/people/?keywords=Adelca%20log%C3%ADstica%20bodega" TargetMode="External" Id="rId227"/><Relationship Type="http://schemas.openxmlformats.org/officeDocument/2006/relationships/hyperlink" Target="https://www.google.com/maps/search/Adelca%20Al%C3%B3ag%20Ecuador" TargetMode="External" Id="rId228"/><Relationship Type="http://schemas.openxmlformats.org/officeDocument/2006/relationships/hyperlink" Target="https://www.danec.com" TargetMode="External" Id="rId229"/><Relationship Type="http://schemas.openxmlformats.org/officeDocument/2006/relationships/hyperlink" Target="https://www.linkedin.com/search/results/people/?keywords=Danec%20log%C3%ADstica%20bodega" TargetMode="External" Id="rId230"/><Relationship Type="http://schemas.openxmlformats.org/officeDocument/2006/relationships/hyperlink" Target="https://www.google.com/maps/search/Danec%20Sangolqu%C3%AD%20Ecuador" TargetMode="External" Id="rId231"/><Relationship Type="http://schemas.openxmlformats.org/officeDocument/2006/relationships/hyperlink" Target="https://www.dipor.com.ec" TargetMode="External" Id="rId232"/><Relationship Type="http://schemas.openxmlformats.org/officeDocument/2006/relationships/hyperlink" Target="https://www.linkedin.com/search/results/people/?keywords=Dipor%20log%C3%ADstica%20bodega" TargetMode="External" Id="rId233"/><Relationship Type="http://schemas.openxmlformats.org/officeDocument/2006/relationships/hyperlink" Target="https://www.google.com/maps/search/Dipor%20Quito%20Ecuador" TargetMode="External" Id="rId234"/><Relationship Type="http://schemas.openxmlformats.org/officeDocument/2006/relationships/hyperlink" Target="https://www.life.com.ec" TargetMode="External" Id="rId235"/><Relationship Type="http://schemas.openxmlformats.org/officeDocument/2006/relationships/hyperlink" Target="https://www.linkedin.com/search/results/people/?keywords=Laboratorios%20Life%20log%C3%ADstica%20bodega" TargetMode="External" Id="rId236"/><Relationship Type="http://schemas.openxmlformats.org/officeDocument/2006/relationships/hyperlink" Target="https://www.google.com/maps/search/Laboratorios%20Life%20Quito%20Ecuador" TargetMode="External" Id="rId237"/><Relationship Type="http://schemas.openxmlformats.org/officeDocument/2006/relationships/hyperlink" Target="https://www.modernaalimentos.com.ec" TargetMode="External" Id="rId238"/><Relationship Type="http://schemas.openxmlformats.org/officeDocument/2006/relationships/hyperlink" Target="https://www.linkedin.com/search/results/people/?keywords=Moderna%20Alimentos%20log%C3%ADstica%20bodega" TargetMode="External" Id="rId239"/><Relationship Type="http://schemas.openxmlformats.org/officeDocument/2006/relationships/hyperlink" Target="https://www.google.com/maps/search/Moderna%20Alimentos%20Quito%20Ecuador" TargetMode="External" Id="rId240"/><Relationship Type="http://schemas.openxmlformats.org/officeDocument/2006/relationships/hyperlink" Target="https://www.pinturascondor.com" TargetMode="External" Id="rId241"/><Relationship Type="http://schemas.openxmlformats.org/officeDocument/2006/relationships/hyperlink" Target="https://www.linkedin.com/search/results/people/?keywords=Pinturas%20C%C3%B3ndor%20log%C3%ADstica%20bodega" TargetMode="External" Id="rId242"/><Relationship Type="http://schemas.openxmlformats.org/officeDocument/2006/relationships/hyperlink" Target="https://www.google.com/maps/search/Pinturas%20C%C3%B3ndor%20Quito%20Ecuador" TargetMode="External" Id="rId243"/><Relationship Type="http://schemas.openxmlformats.org/officeDocument/2006/relationships/hyperlink" Target="https://www.servientrega.com.ec" TargetMode="External" Id="rId244"/><Relationship Type="http://schemas.openxmlformats.org/officeDocument/2006/relationships/hyperlink" Target="https://www.linkedin.com/search/results/people/?keywords=Servientrega%20log%C3%ADstica%20bodega" TargetMode="External" Id="rId245"/><Relationship Type="http://schemas.openxmlformats.org/officeDocument/2006/relationships/hyperlink" Target="https://www.google.com/maps/search/Servientrega%20Quito%20Ecuador" TargetMode="External" Id="rId246"/><Relationship Type="http://schemas.openxmlformats.org/officeDocument/2006/relationships/hyperlink" Target="https://www.santamaria.com.ec" TargetMode="External" Id="rId247"/><Relationship Type="http://schemas.openxmlformats.org/officeDocument/2006/relationships/hyperlink" Target="https://www.linkedin.com/search/results/people/?keywords=Supermercados%20Santa%20Mar%C3%ADa%20log%C3%ADstica%20bodega" TargetMode="External" Id="rId248"/><Relationship Type="http://schemas.openxmlformats.org/officeDocument/2006/relationships/hyperlink" Target="https://www.google.com/maps/search/Supermercados%20Santa%20Mar%C3%ADa%20Quito%20Ecuador" TargetMode="External" Id="rId249"/><Relationship Type="http://schemas.openxmlformats.org/officeDocument/2006/relationships/hyperlink" Target="https://www.tesalia.com.ec" TargetMode="External" Id="rId250"/><Relationship Type="http://schemas.openxmlformats.org/officeDocument/2006/relationships/hyperlink" Target="https://www.linkedin.com/search/results/people/?keywords=Tesalia%20Springs%20log%C3%ADstica%20bodega" TargetMode="External" Id="rId251"/><Relationship Type="http://schemas.openxmlformats.org/officeDocument/2006/relationships/hyperlink" Target="https://www.google.com/maps/search/Tesalia%20Springs%20Machachi%20Ecuador" TargetMode="External" Id="rId252"/><Relationship Type="http://schemas.openxmlformats.org/officeDocument/2006/relationships/hyperlink" Target="https://www.tramaco.com.ec" TargetMode="External" Id="rId253"/><Relationship Type="http://schemas.openxmlformats.org/officeDocument/2006/relationships/hyperlink" Target="https://www.linkedin.com/search/results/people/?keywords=Tramaco%20Express%20log%C3%ADstica%20bodega" TargetMode="External" Id="rId254"/><Relationship Type="http://schemas.openxmlformats.org/officeDocument/2006/relationships/hyperlink" Target="https://www.google.com/maps/search/Tramaco%20Express%20Quito%20Ecuador" TargetMode="External" Id="rId255"/><Relationship Type="http://schemas.openxmlformats.org/officeDocument/2006/relationships/hyperlink" Target="https://www.linkedin.com/search/results/people/?keywords=Aves%20del%20Oriente%20log%C3%ADstica%20bodega" TargetMode="External" Id="rId256"/><Relationship Type="http://schemas.openxmlformats.org/officeDocument/2006/relationships/hyperlink" Target="https://www.google.com/maps/search/Aves%20del%20Oriente%20Tena%20Ecuador" TargetMode="External" Id="rId257"/><Relationship Type="http://schemas.openxmlformats.org/officeDocument/2006/relationships/hyperlink" Target="https://www.sertecpet.com" TargetMode="External" Id="rId258"/><Relationship Type="http://schemas.openxmlformats.org/officeDocument/2006/relationships/hyperlink" Target="https://www.linkedin.com/search/results/people/?keywords=Sertecpet%20log%C3%ADstica%20bodega" TargetMode="External" Id="rId259"/><Relationship Type="http://schemas.openxmlformats.org/officeDocument/2006/relationships/hyperlink" Target="https://www.google.com/maps/search/Sertecpet%20Francisco%20de%20Orellana%20Ecuador" TargetMode="External" Id="rId260"/><Relationship Type="http://schemas.openxmlformats.org/officeDocument/2006/relationships/hyperlink" Target="https://www.arboriente.com" TargetMode="External" Id="rId261"/><Relationship Type="http://schemas.openxmlformats.org/officeDocument/2006/relationships/hyperlink" Target="https://www.linkedin.com/search/results/people/?keywords=Arboriente%20log%C3%ADstica%20bodega" TargetMode="External" Id="rId262"/><Relationship Type="http://schemas.openxmlformats.org/officeDocument/2006/relationships/hyperlink" Target="https://www.google.com/maps/search/Arboriente%20Puyo%20Ecuador" TargetMode="External" Id="rId263"/><Relationship Type="http://schemas.openxmlformats.org/officeDocument/2006/relationships/hyperlink" Target="https://www.linkedin.com/search/results/people/?keywords=Giufervy%20log%C3%ADstica%20bodega" TargetMode="External" Id="rId264"/><Relationship Type="http://schemas.openxmlformats.org/officeDocument/2006/relationships/hyperlink" Target="https://www.google.com/maps/search/Giufervy%20Puyo%20Ecuador" TargetMode="External" Id="rId265"/><Relationship Type="http://schemas.openxmlformats.org/officeDocument/2006/relationships/hyperlink" Target="https://www.lundingold.com" TargetMode="External" Id="rId266"/><Relationship Type="http://schemas.openxmlformats.org/officeDocument/2006/relationships/hyperlink" Target="https://www.linkedin.com/search/results/people/?keywords=Lundin%20Gold%20log%C3%ADstica%20bodega" TargetMode="External" Id="rId267"/><Relationship Type="http://schemas.openxmlformats.org/officeDocument/2006/relationships/hyperlink" Target="https://www.google.com/maps/search/Lundin%20Gold%20Yantzaza%20Ecuador" TargetMode="External" Id="rId268"/><Relationship Type="http://schemas.openxmlformats.org/officeDocument/2006/relationships/hyperlink" Target="https://www.linkedin.com/search/results/people/?keywords=Cvialco%20log%C3%ADstica%20bodega" TargetMode="External" Id="rId269"/><Relationship Type="http://schemas.openxmlformats.org/officeDocument/2006/relationships/hyperlink" Target="https://www.google.com/maps/search/Cvialco%20Santa%20Elena%20Ecuador" TargetMode="External" Id="rId270"/><Relationship Type="http://schemas.openxmlformats.org/officeDocument/2006/relationships/hyperlink" Target="https://www.petrolrios.com" TargetMode="External" Id="rId271"/><Relationship Type="http://schemas.openxmlformats.org/officeDocument/2006/relationships/hyperlink" Target="https://www.linkedin.com/search/results/people/?keywords=Petrolr%C3%ADos%20log%C3%ADstica%20bodega" TargetMode="External" Id="rId272"/><Relationship Type="http://schemas.openxmlformats.org/officeDocument/2006/relationships/hyperlink" Target="https://www.google.com/maps/search/Petrolr%C3%ADos%20Santo%20Domingo%20Ecuador" TargetMode="External" Id="rId273"/><Relationship Type="http://schemas.openxmlformats.org/officeDocument/2006/relationships/hyperlink" Target="https://www.linkedin.com/search/results/people/?keywords=Hidronormand%C3%ADa%20log%C3%ADstica%20bodega" TargetMode="External" Id="rId274"/><Relationship Type="http://schemas.openxmlformats.org/officeDocument/2006/relationships/hyperlink" Target="https://www.google.com/maps/search/Hidronormand%C3%ADa%20Macas%20Ecuador" TargetMode="External" Id="rId275"/><Relationship Type="http://schemas.openxmlformats.org/officeDocument/2006/relationships/hyperlink" Target="https://www.linkedin.com/search/results/people/?keywords=Etica%20log%C3%ADstica%20bodega" TargetMode="External" Id="rId276"/><Relationship Type="http://schemas.openxmlformats.org/officeDocument/2006/relationships/hyperlink" Target="https://www.google.com/maps/search/Etica%20Puerto%20Ayora%20Ecuador" TargetMode="External" Id="rId277"/></Relationships>
</file>

<file path=xl/worksheets/_rels/sheet4.xml.rels><Relationships xmlns="http://schemas.openxmlformats.org/package/2006/relationships"><Relationship Type="http://schemas.openxmlformats.org/officeDocument/2006/relationships/hyperlink" Target="mailto:?subject=Propuesta%20de%20racks%20y%20perchas%20para%20Farmamia%20%C2%B7%20Racksa%20Ecuador&amp;body=Estimados%2C%20equipo%20de%20Log%C3%ADstica%20de%20Farmamia%3A%0A%0ALes%20saluda%20Hansell%20Moreira%2C%20de%20Racksa%20Ecuador.%20Dise%C3%B1amos%20e%20instalamos%20racks%2C%20perchas%20y%20mezzanines%20para%20bodegas%20a%20nivel%20nacional.%0A%0APodemos%20ayudarles%20a%20un%20picking%20m%C3%A1s%20r%C3%A1pido%20y%20ordenado%20por%20lote%20y%20referencia%3A%20perchas%20de%20picking%20de%20500%20kg%20por%20nivel%20y%20rack%20selectivo%20con%20acceso%20100%25%20directo%20a%20cada%20pallet.%20Contamos%20con%20el%20stock%20para%20entrega%20inmediata.%0A%0A%C2%BFLes%20parece%20si%20agendamos%20una%20visita%20t%C3%A9cnica%20sin%20costo%20a%20la%20bodega%20y%20el%20centro%20de%20distribuci%C3%B3n%20de%20Farmamia%20en%20Machal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"/><Relationship Type="http://schemas.openxmlformats.org/officeDocument/2006/relationships/hyperlink" Target="mailto:?subject=Re%3A%20Propuesta%20de%20racks%20y%20perchas%20para%20Farmamia%20%C2%B7%20Racksa%20Ecuador&amp;body=Estimados%2C%20equipo%20de%20Log%C3%ADstica%20de%20Farmami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2"/><Relationship Type="http://schemas.openxmlformats.org/officeDocument/2006/relationships/hyperlink" Target="mailto:info@agripac.com.ec?subject=Propuesta%20de%20racks%20y%20perchas%20para%20Agripac%20%C2%B7%20Racksa%20Ecuador&amp;body=Estimados%2C%20equipo%20de%20Log%C3%ADstica%20de%20Agripac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Agripac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3"/><Relationship Type="http://schemas.openxmlformats.org/officeDocument/2006/relationships/hyperlink" Target="mailto:info@agripac.com.ec?subject=Re%3A%20Propuesta%20de%20racks%20y%20perchas%20para%20Agripac%20%C2%B7%20Racksa%20Ecuador&amp;body=Estimados%2C%20equipo%20de%20Log%C3%ADstica%20de%20Agripac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4"/><Relationship Type="http://schemas.openxmlformats.org/officeDocument/2006/relationships/hyperlink" Target="mailto:?subject=Propuesta%20de%20racks%20y%20perchas%20para%20Comandato%20%C2%B7%20Racksa%20Ecuador&amp;body=Estimados%2C%20equipo%20de%20Log%C3%ADstica%20de%20Comandato%3A%0A%0ALes%20saluda%20Hansell%20Moreira%2C%20de%20Racksa%20Ecuador.%20Dise%C3%B1amos%20e%20instalamos%20racks%2C%20perchas%20y%20mezzanines%20para%20bodegas%20a%20nivel%20nacional.%0A%0APodemos%20ayudarles%20a%20ordenar%20el%20CD%20por%20pallets%20y%20el%20picking%20por%20unidades%3A%20rack%20selectivo%20con%20acceso%20100%25%20directo%20a%20cada%20pallet%20y%20perchas%20de%20picking%20de%20500%20kg%20por%20nivel.%20Contamos%20con%20el%20stock%20para%20entrega%20inmediata.%0A%0A%C2%BFLes%20parece%20si%20agendamos%20una%20visita%20t%C3%A9cnica%20sin%20costo%20a%20el%20centro%20de%20distribuci%C3%B3n%20y%20las%20bodegas%20de%20tiendas%20de%20Comandato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5"/><Relationship Type="http://schemas.openxmlformats.org/officeDocument/2006/relationships/hyperlink" Target="mailto:?subject=Re%3A%20Propuesta%20de%20racks%20y%20perchas%20para%20Comandato%20%C2%B7%20Racksa%20Ecuador&amp;body=Estimados%2C%20equipo%20de%20Log%C3%ADstica%20de%20Comandato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6"/><Relationship Type="http://schemas.openxmlformats.org/officeDocument/2006/relationships/hyperlink" Target="mailto:?subject=Propuesta%20de%20racks%20y%20perchas%20para%20Corporaci%C3%B3n%20El%20Rosado%20%C2%B7%20Racksa%20Ecuador&amp;body=Estimados%2C%20equipo%20de%20Log%C3%ADstica%20de%20Corporaci%C3%B3n%20El%20Rosado%3A%0A%0ALes%20saluda%20Hansell%20Moreira%2C%20de%20Racksa%20Ecuador.%20Dise%C3%B1amos%20e%20instalamos%20racks%2C%20perchas%20y%20mezzanines%20para%20bodegas%20a%20nivel%20nacional.%0A%0APodemos%20ayudarles%20a%20ordenar%20el%20CD%20por%20pallets%20y%20el%20picking%20por%20unidades%3A%20rack%20selectivo%20con%20acceso%20100%25%20directo%20a%20cada%20pallet%20y%20perchas%20de%20picking%20de%20500%20kg%20por%20nivel.%20Contamos%20con%20el%20stock%20para%20entrega%20inmediata.%0A%0A%C2%BFLes%20parece%20si%20agendamos%20una%20visita%20t%C3%A9cnica%20sin%20costo%20a%20el%20centro%20de%20distribuci%C3%B3n%20y%20las%20bodegas%20de%20tiendas%20de%20Corporaci%C3%B3n%20El%20Rosado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7"/><Relationship Type="http://schemas.openxmlformats.org/officeDocument/2006/relationships/hyperlink" Target="mailto:?subject=Re%3A%20Propuesta%20de%20racks%20y%20perchas%20para%20Corporaci%C3%B3n%20El%20Rosado%20%C2%B7%20Racksa%20Ecuador&amp;body=Estimados%2C%20equipo%20de%20Log%C3%ADstica%20de%20Corporaci%C3%B3n%20El%20Rosado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8"/><Relationship Type="http://schemas.openxmlformats.org/officeDocument/2006/relationships/hyperlink" Target="mailto:?subject=Propuesta%20de%20racks%20y%20perchas%20para%20Difare%20%C2%B7%20Racksa%20Ecuador&amp;body=Estimados%2C%20equipo%20de%20Log%C3%ADstica%20de%20Difare%3A%0A%0ALes%20saluda%20Hansell%20Moreira%2C%20de%20Racksa%20Ecuador.%20Dise%C3%B1amos%20e%20instalamos%20racks%2C%20perchas%20y%20mezzanines%20para%20bodegas%20a%20nivel%20nacional.%0A%0APodemos%20ayudarles%20a%20un%20picking%20m%C3%A1s%20r%C3%A1pido%20y%20ordenado%20por%20lote%20y%20referencia%3A%20perchas%20de%20picking%20de%20500%20kg%20por%20nivel%20y%20rack%20selectivo%20con%20acceso%20100%25%20directo%20a%20cada%20pallet.%20Contamos%20con%20el%20stock%20para%20entrega%20inmediata.%0A%0A%C2%BFLes%20parece%20si%20agendamos%20una%20visita%20t%C3%A9cnica%20sin%20costo%20a%20la%20bodega%20y%20el%20centro%20de%20distribuci%C3%B3n%20de%20Difare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9"/><Relationship Type="http://schemas.openxmlformats.org/officeDocument/2006/relationships/hyperlink" Target="mailto:?subject=Re%3A%20Propuesta%20de%20racks%20y%20perchas%20para%20Difare%20%C2%B7%20Racksa%20Ecuador&amp;body=Estimados%2C%20equipo%20de%20Log%C3%ADstica%20de%20Difare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0"/><Relationship Type="http://schemas.openxmlformats.org/officeDocument/2006/relationships/hyperlink" Target="mailto:?subject=Propuesta%20de%20racks%20y%20perchas%20para%20Ecuaqu%C3%ADmica%20%C2%B7%20Racksa%20Ecuador&amp;body=Estimados%2C%20equipo%20de%20Log%C3%ADstica%20de%20Ecuaqu%C3%ADmica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Ecuaqu%C3%ADmica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1"/><Relationship Type="http://schemas.openxmlformats.org/officeDocument/2006/relationships/hyperlink" Target="mailto:?subject=Re%3A%20Propuesta%20de%20racks%20y%20perchas%20para%20Ecuaqu%C3%ADmica%20%C2%B7%20Racksa%20Ecuador&amp;body=Estimados%2C%20equipo%20de%20Log%C3%ADstica%20de%20Ecuaqu%C3%ADmic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2"/><Relationship Type="http://schemas.openxmlformats.org/officeDocument/2006/relationships/hyperlink" Target="mailto:?subject=Propuesta%20de%20racks%20y%20perchas%20para%20Industrial%20Pesquera%20Santa%20Priscila%20%C2%B7%20Racksa%20Ecuador&amp;body=Estimados%2C%20equipo%20de%20Log%C3%ADstica%20de%20Industrial%20Pesquera%20Santa%20Priscila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Industrial%20Pesquera%20Santa%20Priscila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3"/><Relationship Type="http://schemas.openxmlformats.org/officeDocument/2006/relationships/hyperlink" Target="mailto:?subject=Re%3A%20Propuesta%20de%20racks%20y%20perchas%20para%20Industrial%20Pesquera%20Santa%20Priscila%20%C2%B7%20Racksa%20Ecuador&amp;body=Estimados%2C%20equipo%20de%20Log%C3%ADstica%20de%20Industrial%20Pesquera%20Santa%20Priscil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4"/><Relationship Type="http://schemas.openxmlformats.org/officeDocument/2006/relationships/hyperlink" Target="mailto:?subject=Propuesta%20de%20racks%20y%20perchas%20para%20Tiendas%20Industriales%20Asociadas%20%C2%B7%20Racksa%20Ecuador&amp;body=Estimados%2C%20equipo%20de%20Log%C3%ADstica%20de%20Tiendas%20Industriales%20Asociadas%3A%0A%0ALes%20saluda%20Hansell%20Moreira%2C%20de%20Racksa%20Ecuador.%20Dise%C3%B1amos%20e%20instalamos%20racks%2C%20perchas%20y%20mezzanines%20para%20bodegas%20a%20nivel%20nacional.%0A%0APodemos%20ayudarles%20a%20ordenar%20el%20CD%20por%20pallets%20y%20el%20picking%20por%20unidades%3A%20rack%20selectivo%20con%20acceso%20100%25%20directo%20a%20cada%20pallet%20y%20perchas%20de%20picking%20de%20500%20kg%20por%20nivel.%20Contamos%20con%20el%20stock%20para%20entrega%20inmediata.%0A%0A%C2%BFLes%20parece%20si%20agendamos%20una%20visita%20t%C3%A9cnica%20sin%20costo%20a%20el%20centro%20de%20distribuci%C3%B3n%20y%20las%20bodegas%20de%20tiendas%20de%20Tiendas%20Industriales%20Asociadas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5"/><Relationship Type="http://schemas.openxmlformats.org/officeDocument/2006/relationships/hyperlink" Target="mailto:?subject=Re%3A%20Propuesta%20de%20racks%20y%20perchas%20para%20Tiendas%20Industriales%20Asociadas%20%C2%B7%20Racksa%20Ecuador&amp;body=Estimados%2C%20equipo%20de%20Log%C3%ADstica%20de%20Tiendas%20Industriales%20Asociada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6"/><Relationship Type="http://schemas.openxmlformats.org/officeDocument/2006/relationships/hyperlink" Target="mailto:?subject=Propuesta%20de%20racks%20y%20perchas%20para%20Tonicorp%20%C2%B7%20Racksa%20Ecuador&amp;body=Estimados%2C%20equipo%20de%20Log%C3%ADstica%20de%20Tonicorp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Tonicorp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7"/><Relationship Type="http://schemas.openxmlformats.org/officeDocument/2006/relationships/hyperlink" Target="mailto:?subject=Re%3A%20Propuesta%20de%20racks%20y%20perchas%20para%20Tonicorp%20%C2%B7%20Racksa%20Ecuador&amp;body=Estimados%2C%20equipo%20de%20Log%C3%ADstica%20de%20Tonicorp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8"/><Relationship Type="http://schemas.openxmlformats.org/officeDocument/2006/relationships/hyperlink" Target="mailto:info@dipacmanta.com?subject=Propuesta%20de%20racks%20y%20perchas%20para%20Dipac%20Manta%20%C2%B7%20Racksa%20Ecuador&amp;body=Estimados%2C%20equipo%20de%20Log%C3%ADstica%20de%20Dipac%20Manta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Dipac%20Manta%20en%20Mant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9"/><Relationship Type="http://schemas.openxmlformats.org/officeDocument/2006/relationships/hyperlink" Target="mailto:info@dipacmanta.com?subject=Re%3A%20Propuesta%20de%20racks%20y%20perchas%20para%20Dipac%20Manta%20%C2%B7%20Racksa%20Ecuador&amp;body=Estimados%2C%20equipo%20de%20Log%C3%ADstica%20de%20Dipac%20Mant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20"/><Relationship Type="http://schemas.openxmlformats.org/officeDocument/2006/relationships/hyperlink" Target="mailto:?subject=Propuesta%20de%20racks%20y%20perchas%20para%20Farmacias%20Santamartha%20%C2%B7%20Racksa%20Ecuador&amp;body=Estimados%2C%20equipo%20de%20Log%C3%ADstica%20de%20Farmacias%20Santamartha%3A%0A%0ALes%20saluda%20Hansell%20Moreira%2C%20de%20Racksa%20Ecuador.%20Dise%C3%B1amos%20e%20instalamos%20racks%2C%20perchas%20y%20mezzanines%20para%20bodegas%20a%20nivel%20nacional.%0A%0APodemos%20ayudarles%20a%20un%20picking%20m%C3%A1s%20r%C3%A1pido%20y%20ordenado%20por%20lote%20y%20referencia%3A%20perchas%20de%20picking%20de%20500%20kg%20por%20nivel%20y%20rack%20selectivo%20con%20acceso%20100%25%20directo%20a%20cada%20pallet.%20Contamos%20con%20el%20stock%20para%20entrega%20inmediata.%0A%0A%C2%BFLes%20parece%20si%20agendamos%20una%20visita%20t%C3%A9cnica%20sin%20costo%20a%20la%20bodega%20y%20el%20centro%20de%20distribuci%C3%B3n%20de%20Farmacias%20Santamartha%20en%20Portoviej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21"/><Relationship Type="http://schemas.openxmlformats.org/officeDocument/2006/relationships/hyperlink" Target="mailto:?subject=Re%3A%20Propuesta%20de%20racks%20y%20perchas%20para%20Farmacias%20Santamartha%20%C2%B7%20Racksa%20Ecuador&amp;body=Estimados%2C%20equipo%20de%20Log%C3%ADstica%20de%20Farmacias%20Santamarth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22"/><Relationship Type="http://schemas.openxmlformats.org/officeDocument/2006/relationships/hyperlink" Target="mailto:?subject=Propuesta%20de%20racks%20y%20perchas%20para%20La%20Fabril%20%C2%B7%20Racksa%20Ecuador&amp;body=Estimados%2C%20equipo%20de%20Log%C3%ADstica%20de%20La%20Fabril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La%20Fabril%20en%20Montecristi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23"/><Relationship Type="http://schemas.openxmlformats.org/officeDocument/2006/relationships/hyperlink" Target="mailto:?subject=Re%3A%20Propuesta%20de%20racks%20y%20perchas%20para%20La%20Fabril%20%C2%B7%20Racksa%20Ecuador&amp;body=Estimados%2C%20equipo%20de%20Log%C3%ADstica%20de%20La%20Fabril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24"/><Relationship Type="http://schemas.openxmlformats.org/officeDocument/2006/relationships/hyperlink" Target="mailto:?subject=Propuesta%20de%20racks%20y%20perchas%20para%20Cartopel%20%C2%B7%20Racksa%20Ecuador&amp;body=Estimados%2C%20equipo%20de%20Log%C3%ADstica%20de%20Cartopel%3A%0A%0ALes%20saluda%20Hansell%20Moreira%2C%20de%20Racksa%20Ecuador.%20Dise%C3%B1amos%20e%20instalamos%20racks%2C%20perchas%20y%20mezzanines%20para%20bodegas%20a%20nivel%20nacional.%0A%0APodemos%20ayudarles%20a%20liberar%20piso%20para%20producci%C3%B3n%20y%20ordenar%20la%20bodega%3A%20rack%20selectivo%20para%202.000%20kg%20por%20nivel%2C%20acero%20Q235B%20y%20dise%C3%B1o%20basado%20en%20ANSI/RMI%20MH16.1%20y%20NEC-SE.%20Contamos%20con%20el%20stock%20para%20entrega%20inmediata.%0A%0A%C2%BFLes%20parece%20si%20agendamos%20una%20visita%20t%C3%A9cnica%20sin%20costo%20a%20la%20bodega%20de%20materia%20prima%20y%20producto%20terminado%20de%20Cartopel%20en%20Cuenc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25"/><Relationship Type="http://schemas.openxmlformats.org/officeDocument/2006/relationships/hyperlink" Target="mailto:?subject=Re%3A%20Propuesta%20de%20racks%20y%20perchas%20para%20Cartopel%20%C2%B7%20Racksa%20Ecuador&amp;body=Estimados%2C%20equipo%20de%20Log%C3%ADstica%20de%20Cartopel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26"/><Relationship Type="http://schemas.openxmlformats.org/officeDocument/2006/relationships/hyperlink" Target="mailto:?subject=Propuesta%20de%20racks%20y%20perchas%20para%20Gerardo%20Ortiz%20e%20Hijos%20%C2%B7%20Racksa%20Ecuador&amp;body=Estimados%2C%20equipo%20de%20Log%C3%ADstica%20de%20Gerardo%20Ortiz%20e%20Hijos%3A%0A%0ALes%20saluda%20Hansell%20Moreira%2C%20de%20Racksa%20Ecuador.%20Dise%C3%B1amos%20e%20instalamos%20racks%2C%20perchas%20y%20mezzanines%20para%20bodegas%20a%20nivel%20nacional.%0A%0APodemos%20ayudarles%20a%20ordenar%20el%20CD%20por%20pallets%20y%20el%20picking%20por%20unidades%3A%20rack%20selectivo%20con%20acceso%20100%25%20directo%20a%20cada%20pallet%20y%20perchas%20de%20picking%20de%20500%20kg%20por%20nivel.%20Contamos%20con%20el%20stock%20para%20entrega%20inmediata.%0A%0A%C2%BFLes%20parece%20si%20agendamos%20una%20visita%20t%C3%A9cnica%20sin%20costo%20a%20el%20centro%20de%20distribuci%C3%B3n%20y%20las%20bodegas%20de%20tiendas%20de%20Gerardo%20Ortiz%20e%20Hijos%20en%20Cuenc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27"/><Relationship Type="http://schemas.openxmlformats.org/officeDocument/2006/relationships/hyperlink" Target="mailto:?subject=Re%3A%20Propuesta%20de%20racks%20y%20perchas%20para%20Gerardo%20Ortiz%20e%20Hijos%20%C2%B7%20Racksa%20Ecuador&amp;body=Estimados%2C%20equipo%20de%20Log%C3%ADstica%20de%20Gerardo%20Ortiz%20e%20Hijo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28"/><Relationship Type="http://schemas.openxmlformats.org/officeDocument/2006/relationships/hyperlink" Target="mailto:?subject=Propuesta%20de%20racks%20y%20perchas%20para%20Graiman%20%C2%B7%20Racksa%20Ecuador&amp;body=Estimados%2C%20equipo%20de%20Log%C3%ADstica%20de%20Graiman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Graiman%20en%20Cuenc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29"/><Relationship Type="http://schemas.openxmlformats.org/officeDocument/2006/relationships/hyperlink" Target="mailto:?subject=Re%3A%20Propuesta%20de%20racks%20y%20perchas%20para%20Graiman%20%C2%B7%20Racksa%20Ecuador&amp;body=Estimados%2C%20equipo%20de%20Log%C3%ADstica%20de%20Graiman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30"/><Relationship Type="http://schemas.openxmlformats.org/officeDocument/2006/relationships/hyperlink" Target="mailto:?subject=Propuesta%20de%20racks%20y%20perchas%20para%20Indurama%20%C2%B7%20Racksa%20Ecuador&amp;body=Estimados%2C%20equipo%20de%20Log%C3%ADstica%20de%20Indurama%3A%0A%0ALes%20saluda%20Hansell%20Moreira%2C%20de%20Racksa%20Ecuador.%20Dise%C3%B1amos%20e%20instalamos%20racks%2C%20perchas%20y%20mezzanines%20para%20bodegas%20a%20nivel%20nacional.%0A%0APodemos%20ayudarles%20a%20liberar%20piso%20para%20producci%C3%B3n%20y%20ordenar%20la%20bodega%3A%20rack%20selectivo%20para%202.000%20kg%20por%20nivel%2C%20acero%20Q235B%20y%20dise%C3%B1o%20basado%20en%20ANSI/RMI%20MH16.1%20y%20NEC-SE.%20Contamos%20con%20el%20stock%20para%20entrega%20inmediata.%0A%0A%C2%BFLes%20parece%20si%20agendamos%20una%20visita%20t%C3%A9cnica%20sin%20costo%20a%20la%20bodega%20de%20materia%20prima%20y%20producto%20terminado%20de%20Indurama%20en%20Cuenc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31"/><Relationship Type="http://schemas.openxmlformats.org/officeDocument/2006/relationships/hyperlink" Target="mailto:?subject=Re%3A%20Propuesta%20de%20racks%20y%20perchas%20para%20Indurama%20%C2%B7%20Racksa%20Ecuador&amp;body=Estimados%2C%20equipo%20de%20Log%C3%ADstica%20de%20Induram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32"/><Relationship Type="http://schemas.openxmlformats.org/officeDocument/2006/relationships/hyperlink" Target="mailto:?subject=Propuesta%20de%20racks%20y%20perchas%20para%20Marcimex%20%C2%B7%20Racksa%20Ecuador&amp;body=Estimados%2C%20equipo%20de%20Log%C3%ADstica%20de%20Marcimex%3A%0A%0ALes%20saluda%20Hansell%20Moreira%2C%20de%20Racksa%20Ecuador.%20Dise%C3%B1amos%20e%20instalamos%20racks%2C%20perchas%20y%20mezzanines%20para%20bodegas%20a%20nivel%20nacional.%0A%0APodemos%20ayudarles%20a%20ordenar%20el%20CD%20por%20pallets%20y%20el%20picking%20por%20unidades%3A%20rack%20selectivo%20con%20acceso%20100%25%20directo%20a%20cada%20pallet%20y%20perchas%20de%20picking%20de%20500%20kg%20por%20nivel.%20Contamos%20con%20el%20stock%20para%20entrega%20inmediata.%0A%0A%C2%BFLes%20parece%20si%20agendamos%20una%20visita%20t%C3%A9cnica%20sin%20costo%20a%20el%20centro%20de%20distribuci%C3%B3n%20y%20las%20bodegas%20de%20tiendas%20de%20Marcimex%20en%20Cuenc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33"/><Relationship Type="http://schemas.openxmlformats.org/officeDocument/2006/relationships/hyperlink" Target="mailto:?subject=Re%3A%20Propuesta%20de%20racks%20y%20perchas%20para%20Marcimex%20%C2%B7%20Racksa%20Ecuador&amp;body=Estimados%2C%20equipo%20de%20Log%C3%ADstica%20de%20Marcimex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34"/><Relationship Type="http://schemas.openxmlformats.org/officeDocument/2006/relationships/hyperlink" Target="mailto:?subject=Propuesta%20de%20racks%20y%20perchas%20para%20Distribuidora%20Suprice%20%C2%B7%20Racksa%20Ecuador&amp;body=Estimados%2C%20equipo%20de%20Log%C3%ADstica%20de%20Distribuidora%20Suprice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Distribuidora%20Suprice%20en%20Tulc%C3%A1n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35"/><Relationship Type="http://schemas.openxmlformats.org/officeDocument/2006/relationships/hyperlink" Target="mailto:?subject=Re%3A%20Propuesta%20de%20racks%20y%20perchas%20para%20Distribuidora%20Suprice%20%C2%B7%20Racksa%20Ecuador&amp;body=Estimados%2C%20equipo%20de%20Log%C3%ADstica%20de%20Distribuidora%20Suprice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36"/><Relationship Type="http://schemas.openxmlformats.org/officeDocument/2006/relationships/hyperlink" Target="mailto:ventasgye@novacero.com?subject=Propuesta%20de%20racks%20y%20perchas%20para%20Novacero%20%C2%B7%20Racksa%20Ecuador&amp;body=Estimados%2C%20equipo%20de%20Log%C3%ADstica%20de%20Novacero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Novacero%20en%20Lass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37"/><Relationship Type="http://schemas.openxmlformats.org/officeDocument/2006/relationships/hyperlink" Target="mailto:ventasgye@novacero.com?subject=Re%3A%20Propuesta%20de%20racks%20y%20perchas%20para%20Novacero%20%C2%B7%20Racksa%20Ecuador&amp;body=Estimados%2C%20equipo%20de%20Log%C3%ADstica%20de%20Novacero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38"/><Relationship Type="http://schemas.openxmlformats.org/officeDocument/2006/relationships/hyperlink" Target="mailto:?subject=Propuesta%20de%20racks%20y%20perchas%20para%20Industrial%20Lojana%20de%20Especer%C3%ADas%20%C2%B7%20Racksa%20Ecuador&amp;body=Estimados%2C%20equipo%20de%20Log%C3%ADstica%20de%20Industrial%20Lojana%20de%20Especer%C3%ADas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Industrial%20Lojana%20de%20Especer%C3%ADas%20en%20Loj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39"/><Relationship Type="http://schemas.openxmlformats.org/officeDocument/2006/relationships/hyperlink" Target="mailto:?subject=Re%3A%20Propuesta%20de%20racks%20y%20perchas%20para%20Industrial%20Lojana%20de%20Especer%C3%ADas%20%C2%B7%20Racksa%20Ecuador&amp;body=Estimados%2C%20equipo%20de%20Log%C3%ADstica%20de%20Industrial%20Lojana%20de%20Especer%C3%ADa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40"/><Relationship Type="http://schemas.openxmlformats.org/officeDocument/2006/relationships/hyperlink" Target="mailto:?subject=Propuesta%20de%20racks%20y%20perchas%20para%20Corporaci%C3%B3n%20Favorita%20%C2%B7%20Racksa%20Ecuador&amp;body=Estimados%2C%20equipo%20de%20Log%C3%ADstica%20de%20Corporaci%C3%B3n%20Favorita%3A%0A%0ALes%20saluda%20Hansell%20Moreira%2C%20de%20Racksa%20Ecuador.%20Dise%C3%B1amos%20e%20instalamos%20racks%2C%20perchas%20y%20mezzanines%20para%20bodegas%20a%20nivel%20nacional.%0A%0APodemos%20ayudarles%20a%20ordenar%20el%20CD%20por%20pallets%20y%20el%20picking%20por%20unidades%3A%20rack%20selectivo%20con%20acceso%20100%25%20directo%20a%20cada%20pallet%20y%20perchas%20de%20picking%20de%20500%20kg%20por%20nivel.%20Contamos%20con%20el%20stock%20para%20entrega%20inmediata.%0A%0A%C2%BFLes%20parece%20si%20agendamos%20una%20visita%20t%C3%A9cnica%20sin%20costo%20a%20el%20centro%20de%20distribuci%C3%B3n%20y%20las%20bodegas%20de%20tiendas%20de%20Corporaci%C3%B3n%20Favorita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41"/><Relationship Type="http://schemas.openxmlformats.org/officeDocument/2006/relationships/hyperlink" Target="mailto:?subject=Re%3A%20Propuesta%20de%20racks%20y%20perchas%20para%20Corporaci%C3%B3n%20Favorita%20%C2%B7%20Racksa%20Ecuador&amp;body=Estimados%2C%20equipo%20de%20Log%C3%ADstica%20de%20Corporaci%C3%B3n%20Favorit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42"/><Relationship Type="http://schemas.openxmlformats.org/officeDocument/2006/relationships/hyperlink" Target="mailto:?subject=Propuesta%20de%20racks%20y%20perchas%20para%20Corporaci%C3%B3n%20GPF%20%C2%B7%20Racksa%20Ecuador&amp;body=Estimados%2C%20equipo%20de%20Log%C3%ADstica%20de%20Corporaci%C3%B3n%20GPF%3A%0A%0ALes%20saluda%20Hansell%20Moreira%2C%20de%20Racksa%20Ecuador.%20Dise%C3%B1amos%20e%20instalamos%20racks%2C%20perchas%20y%20mezzanines%20para%20bodegas%20a%20nivel%20nacional.%0A%0APodemos%20ayudarles%20a%20un%20picking%20m%C3%A1s%20r%C3%A1pido%20y%20ordenado%20por%20lote%20y%20referencia%3A%20perchas%20de%20picking%20de%20500%20kg%20por%20nivel%20y%20rack%20selectivo%20con%20acceso%20100%25%20directo%20a%20cada%20pallet.%20Contamos%20con%20el%20stock%20para%20entrega%20inmediata.%0A%0A%C2%BFLes%20parece%20si%20agendamos%20una%20visita%20t%C3%A9cnica%20sin%20costo%20a%20la%20bodega%20y%20el%20centro%20de%20distribuci%C3%B3n%20de%20Corporaci%C3%B3n%20GPF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43"/><Relationship Type="http://schemas.openxmlformats.org/officeDocument/2006/relationships/hyperlink" Target="mailto:?subject=Re%3A%20Propuesta%20de%20racks%20y%20perchas%20para%20Corporaci%C3%B3n%20GPF%20%C2%B7%20Racksa%20Ecuador&amp;body=Estimados%2C%20equipo%20de%20Log%C3%ADstica%20de%20Corporaci%C3%B3n%20GPF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44"/><Relationship Type="http://schemas.openxmlformats.org/officeDocument/2006/relationships/hyperlink" Target="mailto:servicioalcliente@farmaenlace.com?subject=Propuesta%20de%20racks%20y%20perchas%20para%20Farmaenlace%20%C2%B7%20Racksa%20Ecuador&amp;body=Estimados%2C%20equipo%20de%20Log%C3%ADstica%20de%20Farmaenlace%3A%0A%0ALes%20saluda%20Hansell%20Moreira%2C%20de%20Racksa%20Ecuador.%20Dise%C3%B1amos%20e%20instalamos%20racks%2C%20perchas%20y%20mezzanines%20para%20bodegas%20a%20nivel%20nacional.%0A%0APodemos%20ayudarles%20a%20un%20picking%20m%C3%A1s%20r%C3%A1pido%20y%20ordenado%20por%20lote%20y%20referencia%3A%20perchas%20de%20picking%20de%20500%20kg%20por%20nivel%20y%20rack%20selectivo%20con%20acceso%20100%25%20directo%20a%20cada%20pallet.%20Contamos%20con%20el%20stock%20para%20entrega%20inmediata.%0A%0A%C2%BFLes%20parece%20si%20agendamos%20una%20visita%20t%C3%A9cnica%20sin%20costo%20a%20la%20bodega%20y%20el%20centro%20de%20distribuci%C3%B3n%20de%20Farmaenlace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45"/><Relationship Type="http://schemas.openxmlformats.org/officeDocument/2006/relationships/hyperlink" Target="mailto:servicioalcliente@farmaenlace.com?subject=Re%3A%20Propuesta%20de%20racks%20y%20perchas%20para%20Farmaenlace%20%C2%B7%20Racksa%20Ecuador&amp;body=Estimados%2C%20equipo%20de%20Log%C3%ADstica%20de%20Farmaenlace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46"/><Relationship Type="http://schemas.openxmlformats.org/officeDocument/2006/relationships/hyperlink" Target="mailto:?subject=Propuesta%20de%20racks%20y%20perchas%20para%20Kywi%20%C2%B7%20Racksa%20Ecuador&amp;body=Estimados%2C%20equipo%20de%20Log%C3%ADstica%20de%20Kywi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Kywi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47"/><Relationship Type="http://schemas.openxmlformats.org/officeDocument/2006/relationships/hyperlink" Target="mailto:?subject=Re%3A%20Propuesta%20de%20racks%20y%20perchas%20para%20Kywi%20%C2%B7%20Racksa%20Ecuador&amp;body=Estimados%2C%20equipo%20de%20Log%C3%ADstica%20de%20Kywi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48"/><Relationship Type="http://schemas.openxmlformats.org/officeDocument/2006/relationships/hyperlink" Target="mailto:?subject=Propuesta%20de%20racks%20y%20perchas%20para%20Leterago%20del%20Ecuador%20%C2%B7%20Racksa%20Ecuador&amp;body=Estimados%2C%20equipo%20de%20Log%C3%ADstica%20de%20Leterago%20del%20Ecuador%3A%0A%0ALes%20saluda%20Hansell%20Moreira%2C%20de%20Racksa%20Ecuador.%20Dise%C3%B1amos%20e%20instalamos%20racks%2C%20perchas%20y%20mezzanines%20para%20bodegas%20a%20nivel%20nacional.%0A%0APodemos%20ayudarles%20a%20un%20picking%20m%C3%A1s%20r%C3%A1pido%20y%20ordenado%20por%20lote%20y%20referencia%3A%20perchas%20de%20picking%20de%20500%20kg%20por%20nivel%20y%20rack%20selectivo%20con%20acceso%20100%25%20directo%20a%20cada%20pallet.%20Contamos%20con%20el%20stock%20para%20entrega%20inmediata.%0A%0A%C2%BFLes%20parece%20si%20agendamos%20una%20visita%20t%C3%A9cnica%20sin%20costo%20a%20la%20bodega%20y%20el%20centro%20de%20distribuci%C3%B3n%20de%20Leterago%20del%20Ecuador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49"/><Relationship Type="http://schemas.openxmlformats.org/officeDocument/2006/relationships/hyperlink" Target="mailto:?subject=Re%3A%20Propuesta%20de%20racks%20y%20perchas%20para%20Leterago%20del%20Ecuador%20%C2%B7%20Racksa%20Ecuador&amp;body=Estimados%2C%20equipo%20de%20Log%C3%ADstica%20de%20Leterago%20del%20Ecuador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50"/><Relationship Type="http://schemas.openxmlformats.org/officeDocument/2006/relationships/hyperlink" Target="mailto:?subject=Propuesta%20de%20racks%20y%20perchas%20para%20Pronaca%20%C2%B7%20Racksa%20Ecuador&amp;body=Estimados%2C%20equipo%20de%20Log%C3%ADstica%20de%20Pronaca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Pronaca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51"/><Relationship Type="http://schemas.openxmlformats.org/officeDocument/2006/relationships/hyperlink" Target="mailto:?subject=Re%3A%20Propuesta%20de%20racks%20y%20perchas%20para%20Pronaca%20%C2%B7%20Racksa%20Ecuador&amp;body=Estimados%2C%20equipo%20de%20Log%C3%ADstica%20de%20Pronac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52"/><Relationship Type="http://schemas.openxmlformats.org/officeDocument/2006/relationships/hyperlink" Target="mailto:comunicaciones@quifatex.com?subject=Propuesta%20de%20racks%20y%20perchas%20para%20Quifatex%20%C2%B7%20Racksa%20Ecuador&amp;body=Estimados%2C%20equipo%20de%20Log%C3%ADstica%20de%20Quifatex%3A%0A%0ALes%20saluda%20Hansell%20Moreira%2C%20de%20Racksa%20Ecuador.%20Dise%C3%B1amos%20e%20instalamos%20racks%2C%20perchas%20y%20mezzanines%20para%20bodegas%20a%20nivel%20nacional.%0A%0APodemos%20ayudarles%20a%20un%20picking%20m%C3%A1s%20r%C3%A1pido%20y%20ordenado%20por%20lote%20y%20referencia%3A%20perchas%20de%20picking%20de%20500%20kg%20por%20nivel%20y%20rack%20selectivo%20con%20acceso%20100%25%20directo%20a%20cada%20pallet.%20Contamos%20con%20el%20stock%20para%20entrega%20inmediata.%0A%0A%C2%BFLes%20parece%20si%20agendamos%20una%20visita%20t%C3%A9cnica%20sin%20costo%20a%20la%20bodega%20y%20el%20centro%20de%20distribuci%C3%B3n%20de%20Quifatex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53"/><Relationship Type="http://schemas.openxmlformats.org/officeDocument/2006/relationships/hyperlink" Target="mailto:comunicaciones@quifatex.com?subject=Re%3A%20Propuesta%20de%20racks%20y%20perchas%20para%20Quifatex%20%C2%B7%20Racksa%20Ecuador&amp;body=Estimados%2C%20equipo%20de%20Log%C3%ADstica%20de%20Quifatex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54"/><Relationship Type="http://schemas.openxmlformats.org/officeDocument/2006/relationships/hyperlink" Target="mailto:?subject=Propuesta%20de%20racks%20y%20perchas%20para%20Ambacar%20%C2%B7%20Racksa%20Ecuador&amp;body=Estimados%2C%20equipo%20de%20Log%C3%ADstica%20de%20Ambacar%3A%0A%0ALes%20saluda%20Hansell%20Moreira%2C%20de%20Racksa%20Ecuador.%20Dise%C3%B1amos%20e%20instalamos%20racks%2C%20perchas%20y%20mezzanines%20para%20bodegas%20a%20nivel%20nacional.%0A%0APodemos%20ayudarles%20a%20encontrar%20cada%20repuesto%20en%20segundos%3A%20perchas%20de%20picking%20de%20500%20kg%20por%20nivel%20y%20rack%20selectivo%20para%20pallets.%20Contamos%20con%20el%20stock%20para%20entrega%20inmediata.%0A%0A%C2%BFLes%20parece%20si%20agendamos%20una%20visita%20t%C3%A9cnica%20sin%20costo%20a%20la%20bodega%20de%20repuestos%20de%20Ambacar%20en%20Amba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55"/><Relationship Type="http://schemas.openxmlformats.org/officeDocument/2006/relationships/hyperlink" Target="mailto:?subject=Re%3A%20Propuesta%20de%20racks%20y%20perchas%20para%20Ambacar%20%C2%B7%20Racksa%20Ecuador&amp;body=Estimados%2C%20equipo%20de%20Log%C3%ADstica%20de%20Ambacar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56"/><Relationship Type="http://schemas.openxmlformats.org/officeDocument/2006/relationships/hyperlink" Target="mailto:info@megaprofer.com?subject=Propuesta%20de%20racks%20y%20perchas%20para%20Megaprofer%20%C2%B7%20Racksa%20Ecuador&amp;body=Estimados%2C%20equipo%20de%20Log%C3%ADstica%20de%20Megaprofer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Megaprofer%20en%20Amba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57"/><Relationship Type="http://schemas.openxmlformats.org/officeDocument/2006/relationships/hyperlink" Target="mailto:info@megaprofer.com?subject=Re%3A%20Propuesta%20de%20racks%20y%20perchas%20para%20Megaprofer%20%C2%B7%20Racksa%20Ecuador&amp;body=Estimados%2C%20equipo%20de%20Log%C3%ADstica%20de%20Megaprofer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58"/><Relationship Type="http://schemas.openxmlformats.org/officeDocument/2006/relationships/hyperlink" Target="mailto:?subject=Propuesta%20de%20racks%20y%20perchas%20para%20Plasticaucho%20Industrial%20%C2%B7%20Racksa%20Ecuador&amp;body=Estimados%2C%20equipo%20de%20Log%C3%ADstica%20de%20Plasticaucho%20Industrial%3A%0A%0ALes%20saluda%20Hansell%20Moreira%2C%20de%20Racksa%20Ecuador.%20Dise%C3%B1amos%20e%20instalamos%20racks%2C%20perchas%20y%20mezzanines%20para%20bodegas%20a%20nivel%20nacional.%0A%0APodemos%20ayudarles%20a%20liberar%20piso%20para%20producci%C3%B3n%20y%20ordenar%20la%20bodega%3A%20rack%20selectivo%20para%202.000%20kg%20por%20nivel%2C%20acero%20Q235B%20y%20dise%C3%B1o%20basado%20en%20ANSI/RMI%20MH16.1%20y%20NEC-SE.%20Contamos%20con%20el%20stock%20para%20entrega%20inmediata.%0A%0A%C2%BFLes%20parece%20si%20agendamos%20una%20visita%20t%C3%A9cnica%20sin%20costo%20a%20la%20bodega%20de%20materia%20prima%20y%20producto%20terminado%20de%20Plasticaucho%20Industrial%20en%20Amba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59"/><Relationship Type="http://schemas.openxmlformats.org/officeDocument/2006/relationships/hyperlink" Target="mailto:?subject=Re%3A%20Propuesta%20de%20racks%20y%20perchas%20para%20Plasticaucho%20Industrial%20%C2%B7%20Racksa%20Ecuador&amp;body=Estimados%2C%20equipo%20de%20Log%C3%ADstica%20de%20Plasticaucho%20Industrial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60"/><Relationship Type="http://schemas.openxmlformats.org/officeDocument/2006/relationships/hyperlink" Target="mailto:?subject=Propuesta%20de%20racks%20y%20perchas%20para%20Rom%C3%A1n%20Hermanos%20%C2%B7%20Racksa%20Ecuador&amp;body=Estimados%2C%20equipo%20de%20Log%C3%ADstica%20de%20Rom%C3%A1n%20Hermanos%3A%0A%0ALes%20saluda%20Hansell%20Moreira%2C%20de%20Racksa%20Ecuador.%20Dise%C3%B1amos%20e%20instalamos%20racks%2C%20perchas%20y%20mezzanines%20para%20bodegas%20a%20nivel%20nacional.%0A%0APodemos%20ayudarles%20a%20m%C3%A1s%20posiciones%20por%20metro%20cuadrado%20con%20acceso%20directo%20a%20cada%20pallet%3A%20rack%20selectivo%20modular%20con%20acceso%20100%25%20directo%20y%20perchas%20de%20picking%20de%20500%20kg%20por%20nivel.%20Contamos%20con%20el%20stock%20para%20entrega%20inmediata.%0A%0A%C2%BFLes%20parece%20si%20agendamos%20una%20visita%20t%C3%A9cnica%20sin%20costo%20a%20los%20centros%20de%20acopio%20de%20Rom%C3%A1n%20Hermanos%20en%20Lago%20Agri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61"/><Relationship Type="http://schemas.openxmlformats.org/officeDocument/2006/relationships/hyperlink" Target="mailto:?subject=Re%3A%20Propuesta%20de%20racks%20y%20perchas%20para%20Rom%C3%A1n%20Hermanos%20%C2%B7%20Racksa%20Ecuador&amp;body=Estimados%2C%20equipo%20de%20Log%C3%ADstica%20de%20Rom%C3%A1n%20Hermano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62"/><Relationship Type="http://schemas.openxmlformats.org/officeDocument/2006/relationships/hyperlink" Target="mailto:?subject=Propuesta%20de%20racks%20y%20perchas%20para%20Ecuacorriente%20%C2%B7%20Racksa%20Ecuador&amp;body=Estimados%2C%20equipo%20de%20Log%C3%ADstica%20de%20Ecuacorriente%3A%0A%0ALes%20saluda%20Hansell%20Moreira%2C%20de%20Racksa%20Ecuador.%20Dise%C3%B1amos%20e%20instalamos%20racks%2C%20perchas%20y%20mezzanines%20para%20bodegas%20a%20nivel%20nacional.%0A%0APodemos%20ayudarles%20a%20tener%20cada%20repuesto%20identificado%20y%20a%20la%20mano%2C%20aunque%20el%20proyecto%20est%C3%A9%20lejos%3A%20perchas%20de%20500%20kg%20por%20nivel%20y%20rack%20selectivo%20dise%C3%B1ado%20con%20base%20en%20ANSI/RMI%20MH16.1%20y%20NEC-SE.%20Contamos%20con%20el%20stock%20para%20entrega%20inmediata.%0A%0A%C2%BFLes%20parece%20si%20agendamos%20una%20visita%20t%C3%A9cnica%20sin%20costo%20a%20la%20bodega%20de%20repuestos%20e%20insumos%20de%20Ecuacorriente%20en%20El%20Pangui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63"/><Relationship Type="http://schemas.openxmlformats.org/officeDocument/2006/relationships/hyperlink" Target="mailto:?subject=Re%3A%20Propuesta%20de%20racks%20y%20perchas%20para%20Ecuacorriente%20%C2%B7%20Racksa%20Ecuador&amp;body=Estimados%2C%20equipo%20de%20Log%C3%ADstica%20de%20Ecuacorriente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64"/><Relationship Type="http://schemas.openxmlformats.org/officeDocument/2006/relationships/hyperlink" Target="mailto:?subject=Propuesta%20de%20racks%20y%20perchas%20para%20Promaoro%20%C2%B7%20Racksa%20Ecuador&amp;body=Estimados%2C%20equipo%20de%20Log%C3%ADstica%20de%20Promaoro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Promaoro%20en%20Machal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65"/><Relationship Type="http://schemas.openxmlformats.org/officeDocument/2006/relationships/hyperlink" Target="mailto:?subject=Re%3A%20Propuesta%20de%20racks%20y%20perchas%20para%20Promaoro%20%C2%B7%20Racksa%20Ecuador&amp;body=Estimados%2C%20equipo%20de%20Log%C3%ADstica%20de%20Promaoro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66"/><Relationship Type="http://schemas.openxmlformats.org/officeDocument/2006/relationships/hyperlink" Target="mailto:?subject=Propuesta%20de%20racks%20y%20perchas%20para%20Palmar%20de%20Los%20Esteros%20%C2%B7%20Racksa%20Ecuador&amp;body=Estimados%2C%20equipo%20de%20Log%C3%ADstica%20de%20Palmar%20de%20Los%20Esteros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Palmar%20de%20Los%20Esteros%20en%20Esmeraldas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67"/><Relationship Type="http://schemas.openxmlformats.org/officeDocument/2006/relationships/hyperlink" Target="mailto:?subject=Re%3A%20Propuesta%20de%20racks%20y%20perchas%20para%20Palmar%20de%20Los%20Esteros%20%C2%B7%20Racksa%20Ecuador&amp;body=Estimados%2C%20equipo%20de%20Log%C3%ADstica%20de%20Palmar%20de%20Los%20Estero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68"/><Relationship Type="http://schemas.openxmlformats.org/officeDocument/2006/relationships/hyperlink" Target="mailto:?subject=Propuesta%20de%20racks%20y%20perchas%20para%20Almacenes%20De%20Prati%20%C2%B7%20Racksa%20Ecuador&amp;body=Estimados%2C%20equipo%20de%20Log%C3%ADstica%20de%20Almacenes%20De%20Prati%3A%0A%0ALes%20saluda%20Hansell%20Moreira%2C%20de%20Racksa%20Ecuador.%20Dise%C3%B1amos%20e%20instalamos%20racks%2C%20perchas%20y%20mezzanines%20para%20bodegas%20a%20nivel%20nacional.%0A%0APodemos%20ayudarles%20a%20ordenar%20el%20CD%20por%20pallets%20y%20el%20picking%20por%20unidades%3A%20rack%20selectivo%20con%20acceso%20100%25%20directo%20a%20cada%20pallet%20y%20perchas%20de%20picking%20de%20500%20kg%20por%20nivel.%20Contamos%20con%20el%20stock%20para%20entrega%20inmediata.%0A%0A%C2%BFLes%20parece%20si%20agendamos%20una%20visita%20t%C3%A9cnica%20sin%20costo%20a%20el%20centro%20de%20distribuci%C3%B3n%20y%20las%20bodegas%20de%20tiendas%20de%20Almacenes%20De%20Prati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69"/><Relationship Type="http://schemas.openxmlformats.org/officeDocument/2006/relationships/hyperlink" Target="mailto:?subject=Re%3A%20Propuesta%20de%20racks%20y%20perchas%20para%20Almacenes%20De%20Prati%20%C2%B7%20Racksa%20Ecuador&amp;body=Estimados%2C%20equipo%20de%20Log%C3%ADstica%20de%20Almacenes%20De%20Prati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70"/><Relationship Type="http://schemas.openxmlformats.org/officeDocument/2006/relationships/hyperlink" Target="mailto:?subject=Propuesta%20de%20racks%20y%20perchas%20para%20Almacenes%20La%20Ganga%20%C2%B7%20Racksa%20Ecuador&amp;body=Estimados%2C%20equipo%20de%20Log%C3%ADstica%20de%20Almacenes%20La%20Ganga%3A%0A%0ALes%20saluda%20Hansell%20Moreira%2C%20de%20Racksa%20Ecuador.%20Dise%C3%B1amos%20e%20instalamos%20racks%2C%20perchas%20y%20mezzanines%20para%20bodegas%20a%20nivel%20nacional.%0A%0APodemos%20ayudarles%20a%20ordenar%20el%20CD%20por%20pallets%20y%20el%20picking%20por%20unidades%3A%20rack%20selectivo%20con%20acceso%20100%25%20directo%20a%20cada%20pallet%20y%20perchas%20de%20picking%20de%20500%20kg%20por%20nivel.%20Contamos%20con%20el%20stock%20para%20entrega%20inmediata.%0A%0A%C2%BFLes%20parece%20si%20agendamos%20una%20visita%20t%C3%A9cnica%20sin%20costo%20a%20el%20centro%20de%20distribuci%C3%B3n%20y%20las%20bodegas%20de%20tiendas%20de%20Almacenes%20La%20Ganga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71"/><Relationship Type="http://schemas.openxmlformats.org/officeDocument/2006/relationships/hyperlink" Target="mailto:?subject=Re%3A%20Propuesta%20de%20racks%20y%20perchas%20para%20Almacenes%20La%20Ganga%20%C2%B7%20Racksa%20Ecuador&amp;body=Estimados%2C%20equipo%20de%20Log%C3%ADstica%20de%20Almacenes%20La%20Gang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72"/><Relationship Type="http://schemas.openxmlformats.org/officeDocument/2006/relationships/hyperlink" Target="mailto:?subject=Propuesta%20de%20racks%20y%20perchas%20para%20Artefacta%20%C2%B7%20Racksa%20Ecuador&amp;body=Estimados%2C%20equipo%20de%20Log%C3%ADstica%20de%20Artefacta%3A%0A%0ALes%20saluda%20Hansell%20Moreira%2C%20de%20Racksa%20Ecuador.%20Dise%C3%B1amos%20e%20instalamos%20racks%2C%20perchas%20y%20mezzanines%20para%20bodegas%20a%20nivel%20nacional.%0A%0APodemos%20ayudarles%20a%20ordenar%20el%20CD%20por%20pallets%20y%20el%20picking%20por%20unidades%3A%20rack%20selectivo%20con%20acceso%20100%25%20directo%20a%20cada%20pallet%20y%20perchas%20de%20picking%20de%20500%20kg%20por%20nivel.%20Contamos%20con%20el%20stock%20para%20entrega%20inmediata.%0A%0A%C2%BFLes%20parece%20si%20agendamos%20una%20visita%20t%C3%A9cnica%20sin%20costo%20a%20el%20centro%20de%20distribuci%C3%B3n%20y%20las%20bodegas%20de%20tiendas%20de%20Artefacta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73"/><Relationship Type="http://schemas.openxmlformats.org/officeDocument/2006/relationships/hyperlink" Target="mailto:?subject=Re%3A%20Propuesta%20de%20racks%20y%20perchas%20para%20Artefacta%20%C2%B7%20Racksa%20Ecuador&amp;body=Estimados%2C%20equipo%20de%20Log%C3%ADstica%20de%20Artefact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74"/><Relationship Type="http://schemas.openxmlformats.org/officeDocument/2006/relationships/hyperlink" Target="mailto:?subject=Propuesta%20de%20racks%20y%20perchas%20para%20Cervecer%C3%ADa%20Nacional%20%C2%B7%20Racksa%20Ecuador&amp;body=Estimados%2C%20equipo%20de%20Log%C3%ADstica%20de%20Cervecer%C3%ADa%20Nacional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Cervecer%C3%ADa%20Nacional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75"/><Relationship Type="http://schemas.openxmlformats.org/officeDocument/2006/relationships/hyperlink" Target="mailto:?subject=Re%3A%20Propuesta%20de%20racks%20y%20perchas%20para%20Cervecer%C3%ADa%20Nacional%20%C2%B7%20Racksa%20Ecuador&amp;body=Estimados%2C%20equipo%20de%20Log%C3%ADstica%20de%20Cervecer%C3%ADa%20Nacional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76"/><Relationship Type="http://schemas.openxmlformats.org/officeDocument/2006/relationships/hyperlink" Target="mailto:?subject=Propuesta%20de%20racks%20y%20perchas%20para%20Contecon%20Guayaquil%20%C2%B7%20Racksa%20Ecuador&amp;body=Estimados%2C%20equipo%20de%20Log%C3%ADstica%20de%20Contecon%20Guayaquil%3A%0A%0ALes%20saluda%20Hansell%20Moreira%2C%20de%20Racksa%20Ecuador.%20Dise%C3%B1amos%20e%20instalamos%20racks%2C%20perchas%20y%20mezzanines%20para%20bodegas%20a%20nivel%20nacional.%0A%0APodemos%20ayudarles%20a%20m%C3%A1s%20posiciones%20por%20metro%20cuadrado%20con%20acceso%20directo%20a%20cada%20pallet%3A%20rack%20selectivo%20modular%20con%20acceso%20100%25%20directo%20y%20perchas%20de%20picking%20de%20500%20kg%20por%20nivel.%20Contamos%20con%20el%20stock%20para%20entrega%20inmediata.%0A%0A%C2%BFLes%20parece%20si%20agendamos%20una%20visita%20t%C3%A9cnica%20sin%20costo%20a%20los%20centros%20de%20acopio%20de%20Contecon%20Guayaquil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77"/><Relationship Type="http://schemas.openxmlformats.org/officeDocument/2006/relationships/hyperlink" Target="mailto:?subject=Re%3A%20Propuesta%20de%20racks%20y%20perchas%20para%20Contecon%20Guayaquil%20%C2%B7%20Racksa%20Ecuador&amp;body=Estimados%2C%20equipo%20de%20Log%C3%ADstica%20de%20Contecon%20Guayaquil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78"/><Relationship Type="http://schemas.openxmlformats.org/officeDocument/2006/relationships/hyperlink" Target="mailto:?subject=Propuesta%20de%20racks%20y%20perchas%20para%20Electrocables%20%C2%B7%20Racksa%20Ecuador&amp;body=Estimados%2C%20equipo%20de%20Log%C3%ADstica%20de%20Electrocables%3A%0A%0ALes%20saluda%20Hansell%20Moreira%2C%20de%20Racksa%20Ecuador.%20Dise%C3%B1amos%20e%20instalamos%20racks%2C%20perchas%20y%20mezzanines%20para%20bodegas%20a%20nivel%20nacional.%0A%0APodemos%20ayudarles%20a%20liberar%20piso%20para%20producci%C3%B3n%20y%20ordenar%20la%20bodega%3A%20rack%20selectivo%20para%202.000%20kg%20por%20nivel%2C%20acero%20Q235B%20y%20dise%C3%B1o%20basado%20en%20ANSI/RMI%20MH16.1%20y%20NEC-SE.%20Contamos%20con%20el%20stock%20para%20entrega%20inmediata.%0A%0A%C2%BFLes%20parece%20si%20agendamos%20una%20visita%20t%C3%A9cnica%20sin%20costo%20a%20la%20bodega%20de%20materia%20prima%20y%20producto%20terminado%20de%20Electrocables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79"/><Relationship Type="http://schemas.openxmlformats.org/officeDocument/2006/relationships/hyperlink" Target="mailto:?subject=Re%3A%20Propuesta%20de%20racks%20y%20perchas%20para%20Electrocables%20%C2%B7%20Racksa%20Ecuador&amp;body=Estimados%2C%20equipo%20de%20Log%C3%ADstica%20de%20Electrocable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80"/><Relationship Type="http://schemas.openxmlformats.org/officeDocument/2006/relationships/hyperlink" Target="mailto:?subject=Propuesta%20de%20racks%20y%20perchas%20para%20Expalsa%20%C2%B7%20Racksa%20Ecuador&amp;body=Estimados%2C%20equipo%20de%20Log%C3%ADstica%20de%20Expalsa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Expalsa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81"/><Relationship Type="http://schemas.openxmlformats.org/officeDocument/2006/relationships/hyperlink" Target="mailto:?subject=Re%3A%20Propuesta%20de%20racks%20y%20perchas%20para%20Expalsa%20%C2%B7%20Racksa%20Ecuador&amp;body=Estimados%2C%20equipo%20de%20Log%C3%ADstica%20de%20Expals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82"/><Relationship Type="http://schemas.openxmlformats.org/officeDocument/2006/relationships/hyperlink" Target="mailto:?subject=Propuesta%20de%20racks%20y%20perchas%20para%20Holcim%20Ecuador%20/%20Disensa%20%C2%B7%20Racksa%20Ecuador&amp;body=Estimados%2C%20equipo%20de%20Log%C3%ADstica%20de%20Holcim%20Ecuador%20/%20Disensa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Holcim%20Ecuador%20/%20Disensa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83"/><Relationship Type="http://schemas.openxmlformats.org/officeDocument/2006/relationships/hyperlink" Target="mailto:?subject=Re%3A%20Propuesta%20de%20racks%20y%20perchas%20para%20Holcim%20Ecuador%20/%20Disensa%20%C2%B7%20Racksa%20Ecuador&amp;body=Estimados%2C%20equipo%20de%20Log%C3%ADstica%20de%20Holcim%20Ecuador%20/%20Disens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84"/><Relationship Type="http://schemas.openxmlformats.org/officeDocument/2006/relationships/hyperlink" Target="mailto:?subject=Propuesta%20de%20racks%20y%20perchas%20para%20Ipac%20%C2%B7%20Racksa%20Ecuador&amp;body=Estimados%2C%20equipo%20de%20Log%C3%ADstica%20de%20Ipac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Ipac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85"/><Relationship Type="http://schemas.openxmlformats.org/officeDocument/2006/relationships/hyperlink" Target="mailto:?subject=Re%3A%20Propuesta%20de%20racks%20y%20perchas%20para%20Ipac%20%C2%B7%20Racksa%20Ecuador&amp;body=Estimados%2C%20equipo%20de%20Log%C3%ADstica%20de%20Ipac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86"/><Relationship Type="http://schemas.openxmlformats.org/officeDocument/2006/relationships/hyperlink" Target="mailto:?subject=Propuesta%20de%20racks%20y%20perchas%20para%20Megahierro%20%C2%B7%20Racksa%20Ecuador&amp;body=Estimados%2C%20equipo%20de%20Log%C3%ADstica%20de%20Megahierro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Megahierro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87"/><Relationship Type="http://schemas.openxmlformats.org/officeDocument/2006/relationships/hyperlink" Target="mailto:?subject=Re%3A%20Propuesta%20de%20racks%20y%20perchas%20para%20Megahierro%20%C2%B7%20Racksa%20Ecuador&amp;body=Estimados%2C%20equipo%20de%20Log%C3%ADstica%20de%20Megahierro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88"/><Relationship Type="http://schemas.openxmlformats.org/officeDocument/2006/relationships/hyperlink" Target="mailto:?subject=Propuesta%20de%20racks%20y%20perchas%20para%20Nirsa%20%C2%B7%20Racksa%20Ecuador&amp;body=Estimados%2C%20equipo%20de%20Log%C3%ADstica%20de%20Nirsa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Nirsa%20en%20Posorj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89"/><Relationship Type="http://schemas.openxmlformats.org/officeDocument/2006/relationships/hyperlink" Target="mailto:?subject=Re%3A%20Propuesta%20de%20racks%20y%20perchas%20para%20Nirsa%20%C2%B7%20Racksa%20Ecuador&amp;body=Estimados%2C%20equipo%20de%20Log%C3%ADstica%20de%20Nirs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90"/><Relationship Type="http://schemas.openxmlformats.org/officeDocument/2006/relationships/hyperlink" Target="mailto:?subject=Propuesta%20de%20racks%20y%20perchas%20para%20Omarsa%20%C2%B7%20Racksa%20Ecuador&amp;body=Estimados%2C%20equipo%20de%20Log%C3%ADstica%20de%20Omarsa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Omarsa%20en%20Dur%C3%A1n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91"/><Relationship Type="http://schemas.openxmlformats.org/officeDocument/2006/relationships/hyperlink" Target="mailto:?subject=Re%3A%20Propuesta%20de%20racks%20y%20perchas%20para%20Omarsa%20%C2%B7%20Racksa%20Ecuador&amp;body=Estimados%2C%20equipo%20de%20Log%C3%ADstica%20de%20Omars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92"/><Relationship Type="http://schemas.openxmlformats.org/officeDocument/2006/relationships/hyperlink" Target="mailto:?subject=Propuesta%20de%20racks%20y%20perchas%20para%20Pinturas%20Unidas%20%C2%B7%20Racksa%20Ecuador&amp;body=Estimados%2C%20equipo%20de%20Log%C3%ADstica%20de%20Pinturas%20Unidas%3A%0A%0ALes%20saluda%20Hansell%20Moreira%2C%20de%20Racksa%20Ecuador.%20Dise%C3%B1amos%20e%20instalamos%20racks%2C%20perchas%20y%20mezzanines%20para%20bodegas%20a%20nivel%20nacional.%0A%0APodemos%20ayudarles%20a%20liberar%20piso%20para%20producci%C3%B3n%20y%20ordenar%20la%20bodega%3A%20rack%20selectivo%20para%202.000%20kg%20por%20nivel%2C%20acero%20Q235B%20y%20dise%C3%B1o%20basado%20en%20ANSI/RMI%20MH16.1%20y%20NEC-SE.%20Contamos%20con%20el%20stock%20para%20entrega%20inmediata.%0A%0A%C2%BFLes%20parece%20si%20agendamos%20una%20visita%20t%C3%A9cnica%20sin%20costo%20a%20la%20bodega%20de%20materia%20prima%20y%20producto%20terminado%20de%20Pinturas%20Unidas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93"/><Relationship Type="http://schemas.openxmlformats.org/officeDocument/2006/relationships/hyperlink" Target="mailto:?subject=Re%3A%20Propuesta%20de%20racks%20y%20perchas%20para%20Pinturas%20Unidas%20%C2%B7%20Racksa%20Ecuador&amp;body=Estimados%2C%20equipo%20de%20Log%C3%ADstica%20de%20Pinturas%20Unida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94"/><Relationship Type="http://schemas.openxmlformats.org/officeDocument/2006/relationships/hyperlink" Target="mailto:?subject=Propuesta%20de%20racks%20y%20perchas%20para%20Pl%C3%A1sticos%20Industriales%20%C2%B7%20Racksa%20Ecuador&amp;body=Estimados%2C%20equipo%20de%20Log%C3%ADstica%20de%20Pl%C3%A1sticos%20Industriales%3A%0A%0ALes%20saluda%20Hansell%20Moreira%2C%20de%20Racksa%20Ecuador.%20Dise%C3%B1amos%20e%20instalamos%20racks%2C%20perchas%20y%20mezzanines%20para%20bodegas%20a%20nivel%20nacional.%0A%0APodemos%20ayudarles%20a%20liberar%20piso%20para%20producci%C3%B3n%20y%20ordenar%20la%20bodega%3A%20rack%20selectivo%20para%202.000%20kg%20por%20nivel%2C%20acero%20Q235B%20y%20dise%C3%B1o%20basado%20en%20ANSI/RMI%20MH16.1%20y%20NEC-SE.%20Contamos%20con%20el%20stock%20para%20entrega%20inmediata.%0A%0A%C2%BFLes%20parece%20si%20agendamos%20una%20visita%20t%C3%A9cnica%20sin%20costo%20a%20la%20bodega%20de%20materia%20prima%20y%20producto%20terminado%20de%20Pl%C3%A1sticos%20Industriales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95"/><Relationship Type="http://schemas.openxmlformats.org/officeDocument/2006/relationships/hyperlink" Target="mailto:?subject=Re%3A%20Propuesta%20de%20racks%20y%20perchas%20para%20Pl%C3%A1sticos%20Industriales%20%C2%B7%20Racksa%20Ecuador&amp;body=Estimados%2C%20equipo%20de%20Log%C3%ADstica%20de%20Pl%C3%A1sticos%20Industriale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96"/><Relationship Type="http://schemas.openxmlformats.org/officeDocument/2006/relationships/hyperlink" Target="mailto:?subject=Propuesta%20de%20racks%20y%20perchas%20para%20Reybanpac%20%C2%B7%20Racksa%20Ecuador&amp;body=Estimados%2C%20equipo%20de%20Log%C3%ADstica%20de%20Reybanpac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Reybanpac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97"/><Relationship Type="http://schemas.openxmlformats.org/officeDocument/2006/relationships/hyperlink" Target="mailto:?subject=Re%3A%20Propuesta%20de%20racks%20y%20perchas%20para%20Reybanpac%20%C2%B7%20Racksa%20Ecuador&amp;body=Estimados%2C%20equipo%20de%20Log%C3%ADstica%20de%20Reybanpac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98"/><Relationship Type="http://schemas.openxmlformats.org/officeDocument/2006/relationships/hyperlink" Target="mailto:?subject=Propuesta%20de%20racks%20y%20perchas%20para%20Sumesa%20%C2%B7%20Racksa%20Ecuador&amp;body=Estimados%2C%20equipo%20de%20Log%C3%ADstica%20de%20Sumesa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Sumesa%20en%20Guayaqui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99"/><Relationship Type="http://schemas.openxmlformats.org/officeDocument/2006/relationships/hyperlink" Target="mailto:?subject=Re%3A%20Propuesta%20de%20racks%20y%20perchas%20para%20Sumesa%20%C2%B7%20Racksa%20Ecuador&amp;body=Estimados%2C%20equipo%20de%20Log%C3%ADstica%20de%20Sumes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00"/><Relationship Type="http://schemas.openxmlformats.org/officeDocument/2006/relationships/hyperlink" Target="mailto:?subject=Propuesta%20de%20racks%20y%20perchas%20para%20Extractora%20Quevepalma%20%C2%B7%20Racksa%20Ecuador&amp;body=Estimados%2C%20equipo%20de%20Log%C3%ADstica%20de%20Extractora%20Quevepalma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Extractora%20Quevepalma%20en%20Queved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01"/><Relationship Type="http://schemas.openxmlformats.org/officeDocument/2006/relationships/hyperlink" Target="mailto:?subject=Re%3A%20Propuesta%20de%20racks%20y%20perchas%20para%20Extractora%20Quevepalma%20%C2%B7%20Racksa%20Ecuador&amp;body=Estimados%2C%20equipo%20de%20Log%C3%ADstica%20de%20Extractora%20Quevepalm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02"/><Relationship Type="http://schemas.openxmlformats.org/officeDocument/2006/relationships/hyperlink" Target="mailto:?subject=Propuesta%20de%20racks%20y%20perchas%20para%20Asiservy%20%C2%B7%20Racksa%20Ecuador&amp;body=Estimados%2C%20equipo%20de%20Log%C3%ADstica%20de%20Asiservy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Asiservy%20en%20Mant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03"/><Relationship Type="http://schemas.openxmlformats.org/officeDocument/2006/relationships/hyperlink" Target="mailto:?subject=Re%3A%20Propuesta%20de%20racks%20y%20perchas%20para%20Asiservy%20%C2%B7%20Racksa%20Ecuador&amp;body=Estimados%2C%20equipo%20de%20Log%C3%ADstica%20de%20Asiservy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04"/><Relationship Type="http://schemas.openxmlformats.org/officeDocument/2006/relationships/hyperlink" Target="mailto:?subject=Propuesta%20de%20racks%20y%20perchas%20para%20Conservas%20Isabel%20Ecuatoriana%20%C2%B7%20Racksa%20Ecuador&amp;body=Estimados%2C%20equipo%20de%20Log%C3%ADstica%20de%20Conservas%20Isabel%20Ecuatoriana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Conservas%20Isabel%20Ecuatoriana%20en%20Mant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05"/><Relationship Type="http://schemas.openxmlformats.org/officeDocument/2006/relationships/hyperlink" Target="mailto:?subject=Re%3A%20Propuesta%20de%20racks%20y%20perchas%20para%20Conservas%20Isabel%20Ecuatoriana%20%C2%B7%20Racksa%20Ecuador&amp;body=Estimados%2C%20equipo%20de%20Log%C3%ADstica%20de%20Conservas%20Isabel%20Ecuatorian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06"/><Relationship Type="http://schemas.openxmlformats.org/officeDocument/2006/relationships/hyperlink" Target="mailto:?subject=Propuesta%20de%20racks%20y%20perchas%20para%20Eurofish%20%C2%B7%20Racksa%20Ecuador&amp;body=Estimados%2C%20equipo%20de%20Log%C3%ADstica%20de%20Eurofish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Eurofish%20en%20Mant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07"/><Relationship Type="http://schemas.openxmlformats.org/officeDocument/2006/relationships/hyperlink" Target="mailto:?subject=Re%3A%20Propuesta%20de%20racks%20y%20perchas%20para%20Eurofish%20%C2%B7%20Racksa%20Ecuador&amp;body=Estimados%2C%20equipo%20de%20Log%C3%ADstica%20de%20Eurofish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08"/><Relationship Type="http://schemas.openxmlformats.org/officeDocument/2006/relationships/hyperlink" Target="mailto:?subject=Propuesta%20de%20racks%20y%20perchas%20para%20Industrias%20Ales%20%C2%B7%20Racksa%20Ecuador&amp;body=Estimados%2C%20equipo%20de%20Log%C3%ADstica%20de%20Industrias%20Ales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Industrias%20Ales%20en%20Mant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09"/><Relationship Type="http://schemas.openxmlformats.org/officeDocument/2006/relationships/hyperlink" Target="mailto:?subject=Re%3A%20Propuesta%20de%20racks%20y%20perchas%20para%20Industrias%20Ales%20%C2%B7%20Racksa%20Ecuador&amp;body=Estimados%2C%20equipo%20de%20Log%C3%ADstica%20de%20Industrias%20Ale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10"/><Relationship Type="http://schemas.openxmlformats.org/officeDocument/2006/relationships/hyperlink" Target="mailto:?subject=Propuesta%20de%20racks%20y%20perchas%20para%20Marbelize%20%C2%B7%20Racksa%20Ecuador&amp;body=Estimados%2C%20equipo%20de%20Log%C3%ADstica%20de%20Marbelize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Marbelize%20en%20Mant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11"/><Relationship Type="http://schemas.openxmlformats.org/officeDocument/2006/relationships/hyperlink" Target="mailto:?subject=Re%3A%20Propuesta%20de%20racks%20y%20perchas%20para%20Marbelize%20%C2%B7%20Racksa%20Ecuador&amp;body=Estimados%2C%20equipo%20de%20Log%C3%ADstica%20de%20Marbelize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12"/><Relationship Type="http://schemas.openxmlformats.org/officeDocument/2006/relationships/hyperlink" Target="mailto:?subject=Propuesta%20de%20racks%20y%20perchas%20para%20Seafman%20%C2%B7%20Racksa%20Ecuador&amp;body=Estimados%2C%20equipo%20de%20Log%C3%ADstica%20de%20Seafman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Seafman%20en%20Mant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13"/><Relationship Type="http://schemas.openxmlformats.org/officeDocument/2006/relationships/hyperlink" Target="mailto:?subject=Re%3A%20Propuesta%20de%20racks%20y%20perchas%20para%20Seafman%20%C2%B7%20Racksa%20Ecuador&amp;body=Estimados%2C%20equipo%20de%20Log%C3%ADstica%20de%20Seafman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14"/><Relationship Type="http://schemas.openxmlformats.org/officeDocument/2006/relationships/hyperlink" Target="mailto:?subject=Propuesta%20de%20racks%20y%20perchas%20para%20Tecopesca%20%C2%B7%20Racksa%20Ecuador&amp;body=Estimados%2C%20equipo%20de%20Log%C3%ADstica%20de%20Tecopesca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Tecopesca%20en%20Mant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15"/><Relationship Type="http://schemas.openxmlformats.org/officeDocument/2006/relationships/hyperlink" Target="mailto:?subject=Re%3A%20Propuesta%20de%20racks%20y%20perchas%20para%20Tecopesca%20%C2%B7%20Racksa%20Ecuador&amp;body=Estimados%2C%20equipo%20de%20Log%C3%ADstica%20de%20Tecopesc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16"/><Relationship Type="http://schemas.openxmlformats.org/officeDocument/2006/relationships/hyperlink" Target="mailto:?subject=Propuesta%20de%20racks%20y%20perchas%20para%20Colineal%20%C2%B7%20Racksa%20Ecuador&amp;body=Estimados%2C%20equipo%20de%20Log%C3%ADstica%20de%20Colineal%3A%0A%0ALes%20saluda%20Hansell%20Moreira%2C%20de%20Racksa%20Ecuador.%20Dise%C3%B1amos%20e%20instalamos%20racks%2C%20perchas%20y%20mezzanines%20para%20bodegas%20a%20nivel%20nacional.%0A%0APodemos%20ayudarles%20a%20liberar%20piso%20para%20producci%C3%B3n%20y%20ordenar%20la%20bodega%3A%20rack%20selectivo%20para%202.000%20kg%20por%20nivel%2C%20acero%20Q235B%20y%20dise%C3%B1o%20basado%20en%20ANSI/RMI%20MH16.1%20y%20NEC-SE.%20Contamos%20con%20el%20stock%20para%20entrega%20inmediata.%0A%0A%C2%BFLes%20parece%20si%20agendamos%20una%20visita%20t%C3%A9cnica%20sin%20costo%20a%20la%20bodega%20de%20materia%20prima%20y%20producto%20terminado%20de%20Colineal%20en%20Cuenc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17"/><Relationship Type="http://schemas.openxmlformats.org/officeDocument/2006/relationships/hyperlink" Target="mailto:?subject=Re%3A%20Propuesta%20de%20racks%20y%20perchas%20para%20Colineal%20%C2%B7%20Racksa%20Ecuador&amp;body=Estimados%2C%20equipo%20de%20Log%C3%ADstica%20de%20Colineal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18"/><Relationship Type="http://schemas.openxmlformats.org/officeDocument/2006/relationships/hyperlink" Target="mailto:?subject=Propuesta%20de%20racks%20y%20perchas%20para%20Continental%20Tire%20Andina%20%C2%B7%20Racksa%20Ecuador&amp;body=Estimados%2C%20equipo%20de%20Log%C3%ADstica%20de%20Continental%20Tire%20Andina%3A%0A%0ALes%20saluda%20Hansell%20Moreira%2C%20de%20Racksa%20Ecuador.%20Dise%C3%B1amos%20e%20instalamos%20racks%2C%20perchas%20y%20mezzanines%20para%20bodegas%20a%20nivel%20nacional.%0A%0APodemos%20ayudarles%20a%20encontrar%20cada%20repuesto%20en%20segundos%3A%20perchas%20de%20picking%20de%20500%20kg%20por%20nivel%20y%20rack%20selectivo%20para%20pallets.%20Contamos%20con%20el%20stock%20para%20entrega%20inmediata.%0A%0A%C2%BFLes%20parece%20si%20agendamos%20una%20visita%20t%C3%A9cnica%20sin%20costo%20a%20la%20bodega%20de%20repuestos%20de%20Continental%20Tire%20Andina%20en%20Cuenc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19"/><Relationship Type="http://schemas.openxmlformats.org/officeDocument/2006/relationships/hyperlink" Target="mailto:?subject=Re%3A%20Propuesta%20de%20racks%20y%20perchas%20para%20Continental%20Tire%20Andina%20%C2%B7%20Racksa%20Ecuador&amp;body=Estimados%2C%20equipo%20de%20Log%C3%ADstica%20de%20Continental%20Tire%20Andin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20"/><Relationship Type="http://schemas.openxmlformats.org/officeDocument/2006/relationships/hyperlink" Target="mailto:?subject=Propuesta%20de%20racks%20y%20perchas%20para%20Fibroacero%20%C2%B7%20Racksa%20Ecuador&amp;body=Estimados%2C%20equipo%20de%20Log%C3%ADstica%20de%20Fibroacero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Fibroacero%20en%20Cuenc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21"/><Relationship Type="http://schemas.openxmlformats.org/officeDocument/2006/relationships/hyperlink" Target="mailto:?subject=Re%3A%20Propuesta%20de%20racks%20y%20perchas%20para%20Fibroacero%20%C2%B7%20Racksa%20Ecuador&amp;body=Estimados%2C%20equipo%20de%20Log%C3%ADstica%20de%20Fibroacero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22"/><Relationship Type="http://schemas.openxmlformats.org/officeDocument/2006/relationships/hyperlink" Target="mailto:?subject=Propuesta%20de%20racks%20y%20perchas%20para%20Italimentos%20%C2%B7%20Racksa%20Ecuador&amp;body=Estimados%2C%20equipo%20de%20Log%C3%ADstica%20de%20Italimentos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Italimentos%20en%20Cuenc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23"/><Relationship Type="http://schemas.openxmlformats.org/officeDocument/2006/relationships/hyperlink" Target="mailto:?subject=Re%3A%20Propuesta%20de%20racks%20y%20perchas%20para%20Italimentos%20%C2%B7%20Racksa%20Ecuador&amp;body=Estimados%2C%20equipo%20de%20Log%C3%ADstica%20de%20Italimento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24"/><Relationship Type="http://schemas.openxmlformats.org/officeDocument/2006/relationships/hyperlink" Target="mailto:?subject=Propuesta%20de%20racks%20y%20perchas%20para%20Salinerito%20%C2%B7%20Racksa%20Ecuador&amp;body=Estimados%2C%20equipo%20de%20Log%C3%ADstica%20de%20Salinerito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Salinerito%20en%20Salinas%20de%20Guarand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25"/><Relationship Type="http://schemas.openxmlformats.org/officeDocument/2006/relationships/hyperlink" Target="mailto:?subject=Re%3A%20Propuesta%20de%20racks%20y%20perchas%20para%20Salinerito%20%C2%B7%20Racksa%20Ecuador&amp;body=Estimados%2C%20equipo%20de%20Log%C3%ADstica%20de%20Salinerito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26"/><Relationship Type="http://schemas.openxmlformats.org/officeDocument/2006/relationships/hyperlink" Target="mailto:?subject=Propuesta%20de%20racks%20y%20perchas%20para%20Agroaz%C3%BAcar%20Ecuador%20%C2%B7%20Racksa%20Ecuador&amp;body=Estimados%2C%20equipo%20de%20Log%C3%ADstica%20de%20Agroaz%C3%BAcar%20Ecuador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Agroaz%C3%BAcar%20Ecuador%20en%20La%20Troncal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27"/><Relationship Type="http://schemas.openxmlformats.org/officeDocument/2006/relationships/hyperlink" Target="mailto:?subject=Re%3A%20Propuesta%20de%20racks%20y%20perchas%20para%20Agroaz%C3%BAcar%20Ecuador%20%C2%B7%20Racksa%20Ecuador&amp;body=Estimados%2C%20equipo%20de%20Log%C3%ADstica%20de%20Agroaz%C3%BAcar%20Ecuador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28"/><Relationship Type="http://schemas.openxmlformats.org/officeDocument/2006/relationships/hyperlink" Target="mailto:?subject=Propuesta%20de%20racks%20y%20perchas%20para%20Cadena%20de%20Farmacias%20Suiza%20%C2%B7%20Racksa%20Ecuador&amp;body=Estimados%2C%20equipo%20de%20Log%C3%ADstica%20de%20Cadena%20de%20Farmacias%20Suiza%3A%0A%0ALes%20saluda%20Hansell%20Moreira%2C%20de%20Racksa%20Ecuador.%20Dise%C3%B1amos%20e%20instalamos%20racks%2C%20perchas%20y%20mezzanines%20para%20bodegas%20a%20nivel%20nacional.%0A%0APodemos%20ayudarles%20a%20un%20picking%20m%C3%A1s%20r%C3%A1pido%20y%20ordenado%20por%20lote%20y%20referencia%3A%20perchas%20de%20picking%20de%20500%20kg%20por%20nivel%20y%20rack%20selectivo%20con%20acceso%20100%25%20directo%20a%20cada%20pallet.%20Contamos%20con%20el%20stock%20para%20entrega%20inmediata.%0A%0A%C2%BFLes%20parece%20si%20agendamos%20una%20visita%20t%C3%A9cnica%20sin%20costo%20a%20la%20bodega%20y%20el%20centro%20de%20distribuci%C3%B3n%20de%20Cadena%20de%20Farmacias%20Suiza%20en%20Azogues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29"/><Relationship Type="http://schemas.openxmlformats.org/officeDocument/2006/relationships/hyperlink" Target="mailto:?subject=Re%3A%20Propuesta%20de%20racks%20y%20perchas%20para%20Cadena%20de%20Farmacias%20Suiza%20%C2%B7%20Racksa%20Ecuador&amp;body=Estimados%2C%20equipo%20de%20Log%C3%ADstica%20de%20Cadena%20de%20Farmacias%20Suiz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30"/><Relationship Type="http://schemas.openxmlformats.org/officeDocument/2006/relationships/hyperlink" Target="mailto:?subject=Propuesta%20de%20racks%20y%20perchas%20para%20Tubasec%20%C2%B7%20Racksa%20Ecuador&amp;body=Estimados%2C%20equipo%20de%20Log%C3%ADstica%20de%20Tubasec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Tubasec%20en%20Riobamb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31"/><Relationship Type="http://schemas.openxmlformats.org/officeDocument/2006/relationships/hyperlink" Target="mailto:?subject=Re%3A%20Propuesta%20de%20racks%20y%20perchas%20para%20Tubasec%20%C2%B7%20Racksa%20Ecuador&amp;body=Estimados%2C%20equipo%20de%20Log%C3%ADstica%20de%20Tubasec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32"/><Relationship Type="http://schemas.openxmlformats.org/officeDocument/2006/relationships/hyperlink" Target="mailto:?subject=Propuesta%20de%20racks%20y%20perchas%20para%20Uni%C3%B3n%20Cementera%20Nacional%20%C2%B7%20Racksa%20Ecuador&amp;body=Estimados%2C%20equipo%20de%20Log%C3%ADstica%20de%20Uni%C3%B3n%20Cementera%20Nacional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Uni%C3%B3n%20Cementera%20Nacional%20en%20Riobamb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33"/><Relationship Type="http://schemas.openxmlformats.org/officeDocument/2006/relationships/hyperlink" Target="mailto:?subject=Re%3A%20Propuesta%20de%20racks%20y%20perchas%20para%20Uni%C3%B3n%20Cementera%20Nacional%20%C2%B7%20Racksa%20Ecuador&amp;body=Estimados%2C%20equipo%20de%20Log%C3%ADstica%20de%20Uni%C3%B3n%20Cementera%20Nacional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34"/><Relationship Type="http://schemas.openxmlformats.org/officeDocument/2006/relationships/hyperlink" Target="mailto:?subject=Propuesta%20de%20racks%20y%20perchas%20para%20Provefrut%20%C2%B7%20Racksa%20Ecuador&amp;body=Estimados%2C%20equipo%20de%20Log%C3%ADstica%20de%20Provefrut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Provefrut%20en%20Lass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35"/><Relationship Type="http://schemas.openxmlformats.org/officeDocument/2006/relationships/hyperlink" Target="mailto:?subject=Re%3A%20Propuesta%20de%20racks%20y%20perchas%20para%20Provefrut%20%C2%B7%20Racksa%20Ecuador&amp;body=Estimados%2C%20equipo%20de%20Log%C3%ADstica%20de%20Provefrut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36"/><Relationship Type="http://schemas.openxmlformats.org/officeDocument/2006/relationships/hyperlink" Target="mailto:?subject=Propuesta%20de%20racks%20y%20perchas%20para%20Falconfarms%20%C2%B7%20Racksa%20Ecuador&amp;body=Estimados%2C%20equipo%20de%20Log%C3%ADstica%20de%20Falconfarms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Falconfarms%20en%20Cayambe-Ibarr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37"/><Relationship Type="http://schemas.openxmlformats.org/officeDocument/2006/relationships/hyperlink" Target="mailto:?subject=Re%3A%20Propuesta%20de%20racks%20y%20perchas%20para%20Falconfarms%20%C2%B7%20Racksa%20Ecuador&amp;body=Estimados%2C%20equipo%20de%20Log%C3%ADstica%20de%20Falconfarm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38"/><Relationship Type="http://schemas.openxmlformats.org/officeDocument/2006/relationships/hyperlink" Target="mailto:?subject=Propuesta%20de%20racks%20y%20perchas%20para%20Floralp%20%C2%B7%20Racksa%20Ecuador&amp;body=Estimados%2C%20equipo%20de%20Log%C3%ADstica%20de%20Floralp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Floralp%20en%20Ibarr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39"/><Relationship Type="http://schemas.openxmlformats.org/officeDocument/2006/relationships/hyperlink" Target="mailto:?subject=Re%3A%20Propuesta%20de%20racks%20y%20perchas%20para%20Floralp%20%C2%B7%20Racksa%20Ecuador&amp;body=Estimados%2C%20equipo%20de%20Log%C3%ADstica%20de%20Floralp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40"/><Relationship Type="http://schemas.openxmlformats.org/officeDocument/2006/relationships/hyperlink" Target="mailto:?subject=Propuesta%20de%20racks%20y%20perchas%20para%20Imbauto%20%C2%B7%20Racksa%20Ecuador&amp;body=Estimados%2C%20equipo%20de%20Log%C3%ADstica%20de%20Imbauto%3A%0A%0ALes%20saluda%20Hansell%20Moreira%2C%20de%20Racksa%20Ecuador.%20Dise%C3%B1amos%20e%20instalamos%20racks%2C%20perchas%20y%20mezzanines%20para%20bodegas%20a%20nivel%20nacional.%0A%0APodemos%20ayudarles%20a%20encontrar%20cada%20repuesto%20en%20segundos%3A%20perchas%20de%20picking%20de%20500%20kg%20por%20nivel%20y%20rack%20selectivo%20para%20pallets.%20Contamos%20con%20el%20stock%20para%20entrega%20inmediata.%0A%0A%C2%BFLes%20parece%20si%20agendamos%20una%20visita%20t%C3%A9cnica%20sin%20costo%20a%20la%20bodega%20de%20repuestos%20de%20Imbauto%20en%20Ibarr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41"/><Relationship Type="http://schemas.openxmlformats.org/officeDocument/2006/relationships/hyperlink" Target="mailto:?subject=Re%3A%20Propuesta%20de%20racks%20y%20perchas%20para%20Imbauto%20%C2%B7%20Racksa%20Ecuador&amp;body=Estimados%2C%20equipo%20de%20Log%C3%ADstica%20de%20Imbauto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42"/><Relationship Type="http://schemas.openxmlformats.org/officeDocument/2006/relationships/hyperlink" Target="mailto:?subject=Propuesta%20de%20racks%20y%20perchas%20para%20Farmacias%20Cuxibamba%20%C2%B7%20Racksa%20Ecuador&amp;body=Estimados%2C%20equipo%20de%20Log%C3%ADstica%20de%20Farmacias%20Cuxibamba%3A%0A%0ALes%20saluda%20Hansell%20Moreira%2C%20de%20Racksa%20Ecuador.%20Dise%C3%B1amos%20e%20instalamos%20racks%2C%20perchas%20y%20mezzanines%20para%20bodegas%20a%20nivel%20nacional.%0A%0APodemos%20ayudarles%20a%20un%20picking%20m%C3%A1s%20r%C3%A1pido%20y%20ordenado%20por%20lote%20y%20referencia%3A%20perchas%20de%20picking%20de%20500%20kg%20por%20nivel%20y%20rack%20selectivo%20con%20acceso%20100%25%20directo%20a%20cada%20pallet.%20Contamos%20con%20el%20stock%20para%20entrega%20inmediata.%0A%0A%C2%BFLes%20parece%20si%20agendamos%20una%20visita%20t%C3%A9cnica%20sin%20costo%20a%20la%20bodega%20y%20el%20centro%20de%20distribuci%C3%B3n%20de%20Farmacias%20Cuxibamba%20en%20Loj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43"/><Relationship Type="http://schemas.openxmlformats.org/officeDocument/2006/relationships/hyperlink" Target="mailto:?subject=Re%3A%20Propuesta%20de%20racks%20y%20perchas%20para%20Farmacias%20Cuxibamba%20%C2%B7%20Racksa%20Ecuador&amp;body=Estimados%2C%20equipo%20de%20Log%C3%ADstica%20de%20Farmacias%20Cuxibamb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44"/><Relationship Type="http://schemas.openxmlformats.org/officeDocument/2006/relationships/hyperlink" Target="mailto:?subject=Propuesta%20de%20racks%20y%20perchas%20para%20Monterrey%20Azucarera%20Lojana%20%C2%B7%20Racksa%20Ecuador&amp;body=Estimados%2C%20equipo%20de%20Log%C3%ADstica%20de%20Monterrey%20Azucarera%20Lojana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Monterrey%20Azucarera%20Lojana%20en%20Catamay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45"/><Relationship Type="http://schemas.openxmlformats.org/officeDocument/2006/relationships/hyperlink" Target="mailto:?subject=Re%3A%20Propuesta%20de%20racks%20y%20perchas%20para%20Monterrey%20Azucarera%20Lojana%20%C2%B7%20Racksa%20Ecuador&amp;body=Estimados%2C%20equipo%20de%20Log%C3%ADstica%20de%20Monterrey%20Azucarera%20Lojan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46"/><Relationship Type="http://schemas.openxmlformats.org/officeDocument/2006/relationships/hyperlink" Target="mailto:?subject=Propuesta%20de%20racks%20y%20perchas%20para%20Acromax%20%C2%B7%20Racksa%20Ecuador&amp;body=Estimados%2C%20equipo%20de%20Log%C3%ADstica%20de%20Acromax%3A%0A%0ALes%20saluda%20Hansell%20Moreira%2C%20de%20Racksa%20Ecuador.%20Dise%C3%B1amos%20e%20instalamos%20racks%2C%20perchas%20y%20mezzanines%20para%20bodegas%20a%20nivel%20nacional.%0A%0APodemos%20ayudarles%20a%20un%20picking%20m%C3%A1s%20r%C3%A1pido%20y%20ordenado%20por%20lote%20y%20referencia%3A%20perchas%20de%20picking%20de%20500%20kg%20por%20nivel%20y%20rack%20selectivo%20con%20acceso%20100%25%20directo%20a%20cada%20pallet.%20Contamos%20con%20el%20stock%20para%20entrega%20inmediata.%0A%0A%C2%BFLes%20parece%20si%20agendamos%20una%20visita%20t%C3%A9cnica%20sin%20costo%20a%20la%20bodega%20y%20el%20centro%20de%20distribuci%C3%B3n%20de%20Acromax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47"/><Relationship Type="http://schemas.openxmlformats.org/officeDocument/2006/relationships/hyperlink" Target="mailto:?subject=Re%3A%20Propuesta%20de%20racks%20y%20perchas%20para%20Acromax%20%C2%B7%20Racksa%20Ecuador&amp;body=Estimados%2C%20equipo%20de%20Log%C3%ADstica%20de%20Acromax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48"/><Relationship Type="http://schemas.openxmlformats.org/officeDocument/2006/relationships/hyperlink" Target="mailto:?subject=Propuesta%20de%20racks%20y%20perchas%20para%20Adelca%20%C2%B7%20Racksa%20Ecuador&amp;body=Estimados%2C%20equipo%20de%20Log%C3%ADstica%20de%20Adelca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Adelca%20en%20Al%C3%B3ag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49"/><Relationship Type="http://schemas.openxmlformats.org/officeDocument/2006/relationships/hyperlink" Target="mailto:?subject=Re%3A%20Propuesta%20de%20racks%20y%20perchas%20para%20Adelca%20%C2%B7%20Racksa%20Ecuador&amp;body=Estimados%2C%20equipo%20de%20Log%C3%ADstica%20de%20Adelc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50"/><Relationship Type="http://schemas.openxmlformats.org/officeDocument/2006/relationships/hyperlink" Target="mailto:?subject=Propuesta%20de%20racks%20y%20perchas%20para%20Danec%20%C2%B7%20Racksa%20Ecuador&amp;body=Estimados%2C%20equipo%20de%20Log%C3%ADstica%20de%20Danec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Danec%20en%20Sangolqu%C3%AD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51"/><Relationship Type="http://schemas.openxmlformats.org/officeDocument/2006/relationships/hyperlink" Target="mailto:?subject=Re%3A%20Propuesta%20de%20racks%20y%20perchas%20para%20Danec%20%C2%B7%20Racksa%20Ecuador&amp;body=Estimados%2C%20equipo%20de%20Log%C3%ADstica%20de%20Danec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52"/><Relationship Type="http://schemas.openxmlformats.org/officeDocument/2006/relationships/hyperlink" Target="mailto:?subject=Propuesta%20de%20racks%20y%20perchas%20para%20Dipor%20%C2%B7%20Racksa%20Ecuador&amp;body=Estimados%2C%20equipo%20de%20Log%C3%ADstica%20de%20Dipor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Dipor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53"/><Relationship Type="http://schemas.openxmlformats.org/officeDocument/2006/relationships/hyperlink" Target="mailto:?subject=Re%3A%20Propuesta%20de%20racks%20y%20perchas%20para%20Dipor%20%C2%B7%20Racksa%20Ecuador&amp;body=Estimados%2C%20equipo%20de%20Log%C3%ADstica%20de%20Dipor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54"/><Relationship Type="http://schemas.openxmlformats.org/officeDocument/2006/relationships/hyperlink" Target="mailto:?subject=Propuesta%20de%20racks%20y%20perchas%20para%20Laboratorios%20Life%20%C2%B7%20Racksa%20Ecuador&amp;body=Estimados%2C%20equipo%20de%20Log%C3%ADstica%20de%20Laboratorios%20Life%3A%0A%0ALes%20saluda%20Hansell%20Moreira%2C%20de%20Racksa%20Ecuador.%20Dise%C3%B1amos%20e%20instalamos%20racks%2C%20perchas%20y%20mezzanines%20para%20bodegas%20a%20nivel%20nacional.%0A%0APodemos%20ayudarles%20a%20un%20picking%20m%C3%A1s%20r%C3%A1pido%20y%20ordenado%20por%20lote%20y%20referencia%3A%20perchas%20de%20picking%20de%20500%20kg%20por%20nivel%20y%20rack%20selectivo%20con%20acceso%20100%25%20directo%20a%20cada%20pallet.%20Contamos%20con%20el%20stock%20para%20entrega%20inmediata.%0A%0A%C2%BFLes%20parece%20si%20agendamos%20una%20visita%20t%C3%A9cnica%20sin%20costo%20a%20la%20bodega%20y%20el%20centro%20de%20distribuci%C3%B3n%20de%20Laboratorios%20Life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55"/><Relationship Type="http://schemas.openxmlformats.org/officeDocument/2006/relationships/hyperlink" Target="mailto:?subject=Re%3A%20Propuesta%20de%20racks%20y%20perchas%20para%20Laboratorios%20Life%20%C2%B7%20Racksa%20Ecuador&amp;body=Estimados%2C%20equipo%20de%20Log%C3%ADstica%20de%20Laboratorios%20Life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56"/><Relationship Type="http://schemas.openxmlformats.org/officeDocument/2006/relationships/hyperlink" Target="mailto:?subject=Propuesta%20de%20racks%20y%20perchas%20para%20Moderna%20Alimentos%20%C2%B7%20Racksa%20Ecuador&amp;body=Estimados%2C%20equipo%20de%20Log%C3%ADstica%20de%20Moderna%20Alimentos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Moderna%20Alimentos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57"/><Relationship Type="http://schemas.openxmlformats.org/officeDocument/2006/relationships/hyperlink" Target="mailto:?subject=Re%3A%20Propuesta%20de%20racks%20y%20perchas%20para%20Moderna%20Alimentos%20%C2%B7%20Racksa%20Ecuador&amp;body=Estimados%2C%20equipo%20de%20Log%C3%ADstica%20de%20Moderna%20Alimento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58"/><Relationship Type="http://schemas.openxmlformats.org/officeDocument/2006/relationships/hyperlink" Target="mailto:?subject=Propuesta%20de%20racks%20y%20perchas%20para%20Pinturas%20C%C3%B3ndor%20%C2%B7%20Racksa%20Ecuador&amp;body=Estimados%2C%20equipo%20de%20Log%C3%ADstica%20de%20Pinturas%20C%C3%B3ndor%3A%0A%0ALes%20saluda%20Hansell%20Moreira%2C%20de%20Racksa%20Ecuador.%20Dise%C3%B1amos%20e%20instalamos%20racks%2C%20perchas%20y%20mezzanines%20para%20bodegas%20a%20nivel%20nacional.%0A%0APodemos%20ayudarles%20a%20liberar%20piso%20para%20producci%C3%B3n%20y%20ordenar%20la%20bodega%3A%20rack%20selectivo%20para%202.000%20kg%20por%20nivel%2C%20acero%20Q235B%20y%20dise%C3%B1o%20basado%20en%20ANSI/RMI%20MH16.1%20y%20NEC-SE.%20Contamos%20con%20el%20stock%20para%20entrega%20inmediata.%0A%0A%C2%BFLes%20parece%20si%20agendamos%20una%20visita%20t%C3%A9cnica%20sin%20costo%20a%20la%20bodega%20de%20materia%20prima%20y%20producto%20terminado%20de%20Pinturas%20C%C3%B3ndor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59"/><Relationship Type="http://schemas.openxmlformats.org/officeDocument/2006/relationships/hyperlink" Target="mailto:?subject=Re%3A%20Propuesta%20de%20racks%20y%20perchas%20para%20Pinturas%20C%C3%B3ndor%20%C2%B7%20Racksa%20Ecuador&amp;body=Estimados%2C%20equipo%20de%20Log%C3%ADstica%20de%20Pinturas%20C%C3%B3ndor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60"/><Relationship Type="http://schemas.openxmlformats.org/officeDocument/2006/relationships/hyperlink" Target="mailto:?subject=Propuesta%20de%20racks%20y%20perchas%20para%20Servientrega%20%C2%B7%20Racksa%20Ecuador&amp;body=Estimados%2C%20equipo%20de%20Log%C3%ADstica%20de%20Servientrega%3A%0A%0ALes%20saluda%20Hansell%20Moreira%2C%20de%20Racksa%20Ecuador.%20Dise%C3%B1amos%20e%20instalamos%20racks%2C%20perchas%20y%20mezzanines%20para%20bodegas%20a%20nivel%20nacional.%0A%0APodemos%20ayudarles%20a%20m%C3%A1s%20posiciones%20por%20metro%20cuadrado%20con%20acceso%20directo%20a%20cada%20pallet%3A%20rack%20selectivo%20modular%20con%20acceso%20100%25%20directo%20y%20perchas%20de%20picking%20de%20500%20kg%20por%20nivel.%20Contamos%20con%20el%20stock%20para%20entrega%20inmediata.%0A%0A%C2%BFLes%20parece%20si%20agendamos%20una%20visita%20t%C3%A9cnica%20sin%20costo%20a%20los%20centros%20de%20acopio%20de%20Servientrega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61"/><Relationship Type="http://schemas.openxmlformats.org/officeDocument/2006/relationships/hyperlink" Target="mailto:?subject=Re%3A%20Propuesta%20de%20racks%20y%20perchas%20para%20Servientrega%20%C2%B7%20Racksa%20Ecuador&amp;body=Estimados%2C%20equipo%20de%20Log%C3%ADstica%20de%20Servientreg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62"/><Relationship Type="http://schemas.openxmlformats.org/officeDocument/2006/relationships/hyperlink" Target="mailto:?subject=Propuesta%20de%20racks%20y%20perchas%20para%20Supermercados%20Santa%20Mar%C3%ADa%20%C2%B7%20Racksa%20Ecuador&amp;body=Estimados%2C%20equipo%20de%20Log%C3%ADstica%20de%20Supermercados%20Santa%20Mar%C3%ADa%3A%0A%0ALes%20saluda%20Hansell%20Moreira%2C%20de%20Racksa%20Ecuador.%20Dise%C3%B1amos%20e%20instalamos%20racks%2C%20perchas%20y%20mezzanines%20para%20bodegas%20a%20nivel%20nacional.%0A%0APodemos%20ayudarles%20a%20ordenar%20el%20CD%20por%20pallets%20y%20el%20picking%20por%20unidades%3A%20rack%20selectivo%20con%20acceso%20100%25%20directo%20a%20cada%20pallet%20y%20perchas%20de%20picking%20de%20500%20kg%20por%20nivel.%20Contamos%20con%20el%20stock%20para%20entrega%20inmediata.%0A%0A%C2%BFLes%20parece%20si%20agendamos%20una%20visita%20t%C3%A9cnica%20sin%20costo%20a%20el%20centro%20de%20distribuci%C3%B3n%20y%20las%20bodegas%20de%20tiendas%20de%20Supermercados%20Santa%20Mar%C3%ADa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63"/><Relationship Type="http://schemas.openxmlformats.org/officeDocument/2006/relationships/hyperlink" Target="mailto:?subject=Re%3A%20Propuesta%20de%20racks%20y%20perchas%20para%20Supermercados%20Santa%20Mar%C3%ADa%20%C2%B7%20Racksa%20Ecuador&amp;body=Estimados%2C%20equipo%20de%20Log%C3%ADstica%20de%20Supermercados%20Santa%20Mar%C3%AD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64"/><Relationship Type="http://schemas.openxmlformats.org/officeDocument/2006/relationships/hyperlink" Target="mailto:?subject=Propuesta%20de%20racks%20y%20perchas%20para%20Tesalia%20Springs%20%C2%B7%20Racksa%20Ecuador&amp;body=Estimados%2C%20equipo%20de%20Log%C3%ADstica%20de%20Tesalia%20Springs%3A%0A%0ALes%20saluda%20Hansell%20Moreira%2C%20de%20Racksa%20Ecuador.%20Dise%C3%B1amos%20e%20instalamos%20racks%2C%20perchas%20y%20mezzanines%20para%20bodegas%20a%20nivel%20nacional.%0A%0APodemos%20ayudarles%20a%20m%C3%A1s%20pallets%20en%20el%20mismo%20espacio%20y%20despachos%20m%C3%A1s%20r%C3%A1pidos%3A%20rack%20selectivo%20con%20acceso%20100%25%20directo%2C%202.000%20kg%20por%20nivel%20y%20dise%C3%B1o%20basado%20en%20ANSI/RMI%20MH16.1%20y%20NEC-SE.%20Contamos%20con%20el%20stock%20para%20entrega%20inmediata.%0A%0A%C2%BFLes%20parece%20si%20agendamos%20una%20visita%20t%C3%A9cnica%20sin%20costo%20a%20la%20bodega%20de%20producto%20terminado%20de%20Tesalia%20Springs%20en%20Machachi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65"/><Relationship Type="http://schemas.openxmlformats.org/officeDocument/2006/relationships/hyperlink" Target="mailto:?subject=Re%3A%20Propuesta%20de%20racks%20y%20perchas%20para%20Tesalia%20Springs%20%C2%B7%20Racksa%20Ecuador&amp;body=Estimados%2C%20equipo%20de%20Log%C3%ADstica%20de%20Tesalia%20Spring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66"/><Relationship Type="http://schemas.openxmlformats.org/officeDocument/2006/relationships/hyperlink" Target="mailto:?subject=Propuesta%20de%20racks%20y%20perchas%20para%20Tramaco%20Express%20%C2%B7%20Racksa%20Ecuador&amp;body=Estimados%2C%20equipo%20de%20Log%C3%ADstica%20de%20Tramaco%20Express%3A%0A%0ALes%20saluda%20Hansell%20Moreira%2C%20de%20Racksa%20Ecuador.%20Dise%C3%B1amos%20e%20instalamos%20racks%2C%20perchas%20y%20mezzanines%20para%20bodegas%20a%20nivel%20nacional.%0A%0APodemos%20ayudarles%20a%20m%C3%A1s%20posiciones%20por%20metro%20cuadrado%20con%20acceso%20directo%20a%20cada%20pallet%3A%20rack%20selectivo%20modular%20con%20acceso%20100%25%20directo%20y%20perchas%20de%20picking%20de%20500%20kg%20por%20nivel.%20Contamos%20con%20el%20stock%20para%20entrega%20inmediata.%0A%0A%C2%BFLes%20parece%20si%20agendamos%20una%20visita%20t%C3%A9cnica%20sin%20costo%20a%20los%20centros%20de%20acopio%20de%20Tramaco%20Express%20en%20Quit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67"/><Relationship Type="http://schemas.openxmlformats.org/officeDocument/2006/relationships/hyperlink" Target="mailto:?subject=Re%3A%20Propuesta%20de%20racks%20y%20perchas%20para%20Tramaco%20Express%20%C2%B7%20Racksa%20Ecuador&amp;body=Estimados%2C%20equipo%20de%20Log%C3%ADstica%20de%20Tramaco%20Expres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68"/><Relationship Type="http://schemas.openxmlformats.org/officeDocument/2006/relationships/hyperlink" Target="mailto:?subject=Propuesta%20de%20racks%20y%20perchas%20para%20Aves%20del%20Oriente%20%C2%B7%20Racksa%20Ecuador&amp;body=Estimados%2C%20equipo%20de%20Log%C3%ADstica%20de%20Aves%20del%20Oriente%3A%0A%0ALes%20saluda%20Hansell%20Moreira%2C%20de%20Racksa%20Ecuador.%20Dise%C3%B1amos%20e%20instalamos%20racks%2C%20perchas%20y%20mezzanines%20para%20bodegas%20a%20nivel%20nacional.%0A%0APodemos%20ayudarles%20a%20subir%20a%20lo%20alto%20en%20vez%20de%20apilar%20sacos%20y%20cajas%20en%20el%20piso%3A%20rack%20selectivo%20para%202.000%20kg%20por%20nivel%2C%20acero%20Q235B%20con%20pintura%20electrost%C3%A1tica%20epoxi%20resistente%20a%20la%20corrosi%C3%B3n.%20Contamos%20con%20el%20stock%20para%20entrega%20inmediata.%0A%0A%C2%BFLes%20parece%20si%20agendamos%20una%20visita%20t%C3%A9cnica%20sin%20costo%20a%20las%20bodegas%20de%20insumos%2C%20empaque%20y%20producto%20de%20Aves%20del%20Oriente%20en%20Ten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69"/><Relationship Type="http://schemas.openxmlformats.org/officeDocument/2006/relationships/hyperlink" Target="mailto:?subject=Re%3A%20Propuesta%20de%20racks%20y%20perchas%20para%20Aves%20del%20Oriente%20%C2%B7%20Racksa%20Ecuador&amp;body=Estimados%2C%20equipo%20de%20Log%C3%ADstica%20de%20Aves%20del%20Oriente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70"/><Relationship Type="http://schemas.openxmlformats.org/officeDocument/2006/relationships/hyperlink" Target="mailto:?subject=Propuesta%20de%20racks%20y%20perchas%20para%20Sertecpet%20%C2%B7%20Racksa%20Ecuador&amp;body=Estimados%2C%20equipo%20de%20Log%C3%ADstica%20de%20Sertecpet%3A%0A%0ALes%20saluda%20Hansell%20Moreira%2C%20de%20Racksa%20Ecuador.%20Dise%C3%B1amos%20e%20instalamos%20racks%2C%20perchas%20y%20mezzanines%20para%20bodegas%20a%20nivel%20nacional.%0A%0APodemos%20ayudarles%20a%20tener%20cada%20repuesto%20identificado%20y%20a%20la%20mano%2C%20aunque%20el%20proyecto%20est%C3%A9%20lejos%3A%20perchas%20de%20500%20kg%20por%20nivel%20y%20rack%20selectivo%20dise%C3%B1ado%20con%20base%20en%20ANSI/RMI%20MH16.1%20y%20NEC-SE.%20Contamos%20con%20el%20stock%20para%20entrega%20inmediata.%0A%0A%C2%BFLes%20parece%20si%20agendamos%20una%20visita%20t%C3%A9cnica%20sin%20costo%20a%20la%20bodega%20de%20repuestos%20e%20insumos%20de%20Sertecpet%20en%20Francisco%20de%20Orellan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71"/><Relationship Type="http://schemas.openxmlformats.org/officeDocument/2006/relationships/hyperlink" Target="mailto:?subject=Re%3A%20Propuesta%20de%20racks%20y%20perchas%20para%20Sertecpet%20%C2%B7%20Racksa%20Ecuador&amp;body=Estimados%2C%20equipo%20de%20Log%C3%ADstica%20de%20Sertecpet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72"/><Relationship Type="http://schemas.openxmlformats.org/officeDocument/2006/relationships/hyperlink" Target="mailto:?subject=Propuesta%20de%20racks%20y%20perchas%20para%20Arboriente%20%C2%B7%20Racksa%20Ecuador&amp;body=Estimados%2C%20equipo%20de%20Log%C3%ADstica%20de%20Arboriente%3A%0A%0ALes%20saluda%20Hansell%20Moreira%2C%20de%20Racksa%20Ecuador.%20Dise%C3%B1amos%20e%20instalamos%20racks%2C%20perchas%20y%20mezzanines%20para%20bodegas%20a%20nivel%20nacional.%0A%0APodemos%20ayudarles%20a%20liberar%20piso%20para%20producci%C3%B3n%20y%20ordenar%20la%20bodega%3A%20rack%20selectivo%20para%202.000%20kg%20por%20nivel%2C%20acero%20Q235B%20y%20dise%C3%B1o%20basado%20en%20ANSI/RMI%20MH16.1%20y%20NEC-SE.%20Contamos%20con%20el%20stock%20para%20entrega%20inmediata.%0A%0A%C2%BFLes%20parece%20si%20agendamos%20una%20visita%20t%C3%A9cnica%20sin%20costo%20a%20la%20bodega%20de%20materia%20prima%20y%20producto%20terminado%20de%20Arboriente%20en%20Puy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73"/><Relationship Type="http://schemas.openxmlformats.org/officeDocument/2006/relationships/hyperlink" Target="mailto:?subject=Re%3A%20Propuesta%20de%20racks%20y%20perchas%20para%20Arboriente%20%C2%B7%20Racksa%20Ecuador&amp;body=Estimados%2C%20equipo%20de%20Log%C3%ADstica%20de%20Arboriente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74"/><Relationship Type="http://schemas.openxmlformats.org/officeDocument/2006/relationships/hyperlink" Target="mailto:?subject=Propuesta%20de%20racks%20y%20perchas%20para%20Giufervy%20%C2%B7%20Racksa%20Ecuador&amp;body=Estimados%2C%20equipo%20de%20Log%C3%ADstica%20de%20Giufervy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Giufervy%20en%20Puy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75"/><Relationship Type="http://schemas.openxmlformats.org/officeDocument/2006/relationships/hyperlink" Target="mailto:?subject=Re%3A%20Propuesta%20de%20racks%20y%20perchas%20para%20Giufervy%20%C2%B7%20Racksa%20Ecuador&amp;body=Estimados%2C%20equipo%20de%20Log%C3%ADstica%20de%20Giufervy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76"/><Relationship Type="http://schemas.openxmlformats.org/officeDocument/2006/relationships/hyperlink" Target="mailto:?subject=Propuesta%20de%20racks%20y%20perchas%20para%20Lundin%20Gold%20%C2%B7%20Racksa%20Ecuador&amp;body=Estimados%2C%20equipo%20de%20Log%C3%ADstica%20de%20Lundin%20Gold%3A%0A%0ALes%20saluda%20Hansell%20Moreira%2C%20de%20Racksa%20Ecuador.%20Dise%C3%B1amos%20e%20instalamos%20racks%2C%20perchas%20y%20mezzanines%20para%20bodegas%20a%20nivel%20nacional.%0A%0APodemos%20ayudarles%20a%20tener%20cada%20repuesto%20identificado%20y%20a%20la%20mano%2C%20aunque%20el%20proyecto%20est%C3%A9%20lejos%3A%20perchas%20de%20500%20kg%20por%20nivel%20y%20rack%20selectivo%20dise%C3%B1ado%20con%20base%20en%20ANSI/RMI%20MH16.1%20y%20NEC-SE.%20Contamos%20con%20el%20stock%20para%20entrega%20inmediata.%0A%0A%C2%BFLes%20parece%20si%20agendamos%20una%20visita%20t%C3%A9cnica%20sin%20costo%20a%20la%20bodega%20de%20repuestos%20e%20insumos%20de%20Lundin%20Gold%20en%20Yantzaz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77"/><Relationship Type="http://schemas.openxmlformats.org/officeDocument/2006/relationships/hyperlink" Target="mailto:?subject=Re%3A%20Propuesta%20de%20racks%20y%20perchas%20para%20Lundin%20Gold%20%C2%B7%20Racksa%20Ecuador&amp;body=Estimados%2C%20equipo%20de%20Log%C3%ADstica%20de%20Lundin%20Gold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78"/><Relationship Type="http://schemas.openxmlformats.org/officeDocument/2006/relationships/hyperlink" Target="mailto:?subject=Propuesta%20de%20racks%20y%20perchas%20para%20Cvialco%20%C2%B7%20Racksa%20Ecuador&amp;body=Estimados%2C%20equipo%20de%20Log%C3%ADstica%20de%20Cvialco%3A%0A%0ALes%20saluda%20Hansell%20Moreira%2C%20de%20Racksa%20Ecuador.%20Dise%C3%B1amos%20e%20instalamos%20racks%2C%20perchas%20y%20mezzanines%20para%20bodegas%20a%20nivel%20nacional.%0A%0APodemos%20ayudarles%20a%20aprovechar%20la%20altura%20y%20tener%20cada%20producto%20a%20la%20mano%3A%20rack%20selectivo%20para%202.000%20kg%20por%20nivel%20%282%20pallets%20de%201.000%20kg%29%2C%20acero%20Q235B%20y%20pintura%20electrost%C3%A1tica%20epoxi.%20Contamos%20con%20el%20stock%20para%20entrega%20inmediata.%0A%0A%C2%BFLes%20parece%20si%20agendamos%20una%20visita%20t%C3%A9cnica%20sin%20costo%20a%20las%20bodegas%20de%20Cvialco%20en%20Santa%20Elen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79"/><Relationship Type="http://schemas.openxmlformats.org/officeDocument/2006/relationships/hyperlink" Target="mailto:?subject=Re%3A%20Propuesta%20de%20racks%20y%20perchas%20para%20Cvialco%20%C2%B7%20Racksa%20Ecuador&amp;body=Estimados%2C%20equipo%20de%20Log%C3%ADstica%20de%20Cvialco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80"/><Relationship Type="http://schemas.openxmlformats.org/officeDocument/2006/relationships/hyperlink" Target="mailto:?subject=Propuesta%20de%20racks%20y%20perchas%20para%20Petrolr%C3%ADos%20%C2%B7%20Racksa%20Ecuador&amp;body=Estimados%2C%20equipo%20de%20Log%C3%ADstica%20de%20Petrolr%C3%ADos%3A%0A%0ALes%20saluda%20Hansell%20Moreira%2C%20de%20Racksa%20Ecuador.%20Dise%C3%B1amos%20e%20instalamos%20racks%2C%20perchas%20y%20mezzanines%20para%20bodegas%20a%20nivel%20nacional.%0A%0APodemos%20ayudarles%20a%20tener%20cada%20repuesto%20identificado%20y%20a%20la%20mano%2C%20aunque%20el%20proyecto%20est%C3%A9%20lejos%3A%20perchas%20de%20500%20kg%20por%20nivel%20y%20rack%20selectivo%20dise%C3%B1ado%20con%20base%20en%20ANSI/RMI%20MH16.1%20y%20NEC-SE.%20Contamos%20con%20el%20stock%20para%20entrega%20inmediata.%0A%0A%C2%BFLes%20parece%20si%20agendamos%20una%20visita%20t%C3%A9cnica%20sin%20costo%20a%20la%20bodega%20de%20repuestos%20e%20insumos%20de%20Petrolr%C3%ADos%20en%20Santo%20Domingo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81"/><Relationship Type="http://schemas.openxmlformats.org/officeDocument/2006/relationships/hyperlink" Target="mailto:?subject=Re%3A%20Propuesta%20de%20racks%20y%20perchas%20para%20Petrolr%C3%ADos%20%C2%B7%20Racksa%20Ecuador&amp;body=Estimados%2C%20equipo%20de%20Log%C3%ADstica%20de%20Petrolr%C3%ADos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82"/><Relationship Type="http://schemas.openxmlformats.org/officeDocument/2006/relationships/hyperlink" Target="mailto:?subject=Propuesta%20de%20racks%20y%20perchas%20para%20Hidronormand%C3%ADa%20%C2%B7%20Racksa%20Ecuador&amp;body=Estimados%2C%20equipo%20de%20Log%C3%ADstica%20de%20Hidronormand%C3%ADa%3A%0A%0ALes%20saluda%20Hansell%20Moreira%2C%20de%20Racksa%20Ecuador.%20Dise%C3%B1amos%20e%20instalamos%20racks%2C%20perchas%20y%20mezzanines%20para%20bodegas%20a%20nivel%20nacional.%0A%0APodemos%20ayudarles%20a%20tener%20cada%20repuesto%20identificado%20y%20a%20la%20mano%2C%20aunque%20el%20proyecto%20est%C3%A9%20lejos%3A%20perchas%20de%20500%20kg%20por%20nivel%20y%20rack%20selectivo%20dise%C3%B1ado%20con%20base%20en%20ANSI/RMI%20MH16.1%20y%20NEC-SE.%20Contamos%20con%20el%20stock%20para%20entrega%20inmediata.%0A%0A%C2%BFLes%20parece%20si%20agendamos%20una%20visita%20t%C3%A9cnica%20sin%20costo%20a%20la%20bodega%20de%20repuestos%20e%20insumos%20de%20Hidronormand%C3%ADa%20en%20Macas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83"/><Relationship Type="http://schemas.openxmlformats.org/officeDocument/2006/relationships/hyperlink" Target="mailto:?subject=Re%3A%20Propuesta%20de%20racks%20y%20perchas%20para%20Hidronormand%C3%ADa%20%C2%B7%20Racksa%20Ecuador&amp;body=Estimados%2C%20equipo%20de%20Log%C3%ADstica%20de%20Hidronormand%C3%AD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84"/><Relationship Type="http://schemas.openxmlformats.org/officeDocument/2006/relationships/hyperlink" Target="mailto:?subject=Propuesta%20de%20racks%20y%20perchas%20para%20Etica%20%C2%B7%20Racksa%20Ecuador&amp;body=Estimados%2C%20equipo%20de%20Log%C3%ADstica%20de%20Etica%3A%0A%0ALes%20saluda%20Hansell%20Moreira%2C%20de%20Racksa%20Ecuador.%20Dise%C3%B1amos%20e%20instalamos%20racks%2C%20perchas%20y%20mezzanines%20para%20bodegas%20a%20nivel%20nacional.%0A%0APodemos%20ayudarles%20a%20liberar%20piso%20para%20producci%C3%B3n%20y%20ordenar%20la%20bodega%3A%20rack%20selectivo%20para%202.000%20kg%20por%20nivel%2C%20acero%20Q235B%20y%20dise%C3%B1o%20basado%20en%20ANSI/RMI%20MH16.1%20y%20NEC-SE.%20Contamos%20con%20el%20stock%20para%20entrega%20inmediata.%0A%0A%C2%BFLes%20parece%20si%20agendamos%20una%20visita%20t%C3%A9cnica%20sin%20costo%20a%20la%20bodega%20de%20materia%20prima%20y%20producto%20terminado%20de%20Etica%20en%20Puerto%20Ayora%20para%20proponerles%20una%20distribuci%C3%B3n%3F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85"/><Relationship Type="http://schemas.openxmlformats.org/officeDocument/2006/relationships/hyperlink" Target="mailto:?subject=Re%3A%20Propuesta%20de%20racks%20y%20perchas%20para%20Etica%20%C2%B7%20Racksa%20Ecuador&amp;body=Estimados%2C%20equipo%20de%20Log%C3%ADstica%20de%20Etica%3A%0A%0ALes%20escribo%20para%20dar%20seguimiento%20a%20mi%20correo%20anterior.%20Si%20nos%20env%C3%ADan%20un%20plano%20o%20las%20medidas%20de%20la%20bodega%20y%20el%20tipo%20de%20carga%20%28pallets%2C%20cajas%20o%20sacos%29%2C%20les%20preparamos%20una%20propuesta%20de%20distribuci%C3%B3n%20sin%20compromiso.%0A%0AAtentamente%2C%0AHansell%20Moreira%0ARacksa%20Ecuador%20%C2%B7%20Ingenier%C3%ADa%20Intralog%C3%ADstica%0A%F0%9F%93%B1%20MI%20CONTACTO%20DIRECTO%3A%20099%20399%209091%0AOficina%3A%20099%20182%200185%20%C2%B7%20093%20995%207939%0Aproyectos%40racksaecuador.com.ec%0Ahttps%3A//www.racksaecuador.com.ec" TargetMode="External" Id="rId1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RACKSA ECUADOR · Base de prospectos y CRM nacional</t>
        </is>
      </c>
    </row>
    <row r="3">
      <c r="B3" s="2" t="inlineStr">
        <is>
          <t>Preparado el 25/10/2026 · 24 provincias · 93 empresas</t>
        </is>
      </c>
    </row>
    <row r="4">
      <c r="B4" s="3" t="inlineStr"/>
    </row>
    <row r="5">
      <c r="B5" s="4" t="inlineStr">
        <is>
          <t>Cómo usarlo</t>
        </is>
      </c>
    </row>
    <row r="6">
      <c r="B6" s="3" t="inlineStr">
        <is>
          <t>1. «Prospectos»: empresas con bodega por provincia, con sector, necesidad probable y producto sugerido. Prioridad A = empezar aquí.</t>
        </is>
      </c>
    </row>
    <row r="7">
      <c r="B7" s="3" t="inlineStr">
        <is>
          <t>2. Para cada empresa, abre el enlace «Buscar decisor en LinkedIn» y busca Jefe de Logística, Bodega, Operaciones o Compras.</t>
        </is>
      </c>
    </row>
    <row r="8">
      <c r="B8" s="3" t="inlineStr">
        <is>
          <t>3. «Mensajes»: elige el sector y el canal (LinkedIn, WhatsApp o correo) y personaliza [Nombre] y [Empresa].</t>
        </is>
      </c>
    </row>
    <row r="9">
      <c r="B9" s="3" t="inlineStr">
        <is>
          <t>4. «CRM»: registra cada contacto. Cambia el Estado con la lista, anota la última llamada y el próximo paso con fecha.</t>
        </is>
      </c>
    </row>
    <row r="10">
      <c r="B10" s="3" t="inlineStr">
        <is>
          <t xml:space="preserve">   La fila se pinta en rojo si el próximo paso está vencido y en amarillo si es en los próximos 3 días.</t>
        </is>
      </c>
    </row>
    <row r="11">
      <c r="B11" s="3" t="inlineStr">
        <is>
          <t>5. «Resumen»: cuenta automática por estado y por región.</t>
        </is>
      </c>
    </row>
    <row r="12">
      <c r="B12" s="3" t="inlineStr"/>
    </row>
    <row r="13">
      <c r="B13" s="4" t="inlineStr">
        <is>
          <t>Ritmo sugerido</t>
        </is>
      </c>
    </row>
    <row r="14">
      <c r="B14" s="3" t="inlineStr">
        <is>
          <t>• 10 contactos nuevos por día (5 LinkedIn + 5 correo/WhatsApp). Seguimiento a los 3 días y a los 7 días. Tras 3 intentos sin respuesta: «Perdido / sin respuesta» y reintentar en 3 meses.</t>
        </is>
      </c>
    </row>
    <row r="15">
      <c r="B15" s="3" t="inlineStr">
        <is>
          <t>• Al enviar una proforma, cambia el estado y programa la llamada de seguimiento a los 3 días.</t>
        </is>
      </c>
    </row>
    <row r="16">
      <c r="B16" s="3" t="inlineStr"/>
    </row>
    <row r="17">
      <c r="B17" s="4" t="inlineStr">
        <is>
          <t>Sobre los datos</t>
        </is>
      </c>
    </row>
    <row r="18">
      <c r="B18" s="3" t="inlineStr">
        <is>
          <t>• Solo datos públicos de empresas. Fuentes: ranking de ventas por provincia de Primicias (con datos de Supercias), ranking Manabí de El Diario, top Azuay de El Mercurio y webs oficiales.</t>
        </is>
      </c>
    </row>
    <row r="19">
      <c r="B19" s="3" t="inlineStr">
        <is>
          <t>• Teléfonos y correos marcados «Sí» en la columna Verificado se copiaron de la web oficial el 25-oct-2026. El resto: revisar la web o Google Maps (enlace incluido) antes de llamar.</t>
        </is>
      </c>
    </row>
    <row r="20">
      <c r="B20" s="3" t="inlineStr">
        <is>
          <t>• Los teléfonos generales llevan a recepción: pide el área de Logística, Bodega o Compras. Para empresas grandes, regístrate también como proveedor en su portal.</t>
        </is>
      </c>
    </row>
    <row r="21">
      <c r="B21" s="3" t="inlineStr"/>
    </row>
    <row r="22">
      <c r="B22" s="4" t="inlineStr">
        <is>
          <t>Botones de cada empresa (hoja CRM)</t>
        </is>
      </c>
    </row>
    <row r="23">
      <c r="B23" s="3" t="inlineStr">
        <is>
          <t>• ✉️ «Abrir correo listo»: abre tu app de correo con destinatario, asunto y texto ya escritos según el sector. Solo revisas y das Enviar.</t>
        </is>
      </c>
    </row>
    <row r="24">
      <c r="B24" s="3" t="inlineStr">
        <is>
          <t>• ↩️ «Correo de seguimiento»: lo mismo para el seguimiento a los 3–7 días.</t>
        </is>
      </c>
    </row>
    <row r="25">
      <c r="B25" s="3" t="inlineStr">
        <is>
          <t>• 📅 «Agendar seguimiento»: abre Google Calendar con un evento de día completo «Racksa: Empresa» en la Fecha próximo paso (si está vacía, en 3 días). Solo das Guardar.</t>
        </is>
      </c>
    </row>
    <row r="26">
      <c r="B26" s="3" t="inlineStr">
        <is>
          <t>• Después de enviar, en el CRM cambia el Estado a «Contactado», pon la fecha y el próximo paso. Si la empresa no tiene correo, el correo se abre sin destinatario: escríbelo tú (y anótalo en la columna «Correo»).</t>
        </is>
      </c>
    </row>
    <row r="27">
      <c r="B27" s="3" t="inlineStr"/>
    </row>
    <row r="28">
      <c r="B28" s="3" t="inlineStr">
        <is>
          <t>• Los mensajes solo usan datos aprobados (ficha técnica de rack selectivo, perchas 500 kg/nivel, stock para entrega inmediata, cobertura nacional). Nada se envía sin tu revisión.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2" customWidth="1" min="4" max="4"/>
    <col width="12" customWidth="1" min="5" max="5"/>
  </cols>
  <sheetData>
    <row r="1">
      <c r="A1" s="5" t="inlineStr">
        <is>
          <t>Embudo de ventas (CRM)</t>
        </is>
      </c>
      <c r="D1" s="5" t="inlineStr">
        <is>
          <t>Prospectos por región</t>
        </is>
      </c>
    </row>
    <row r="2">
      <c r="A2" s="6" t="inlineStr">
        <is>
          <t>Estado</t>
        </is>
      </c>
      <c r="B2" s="6" t="inlineStr">
        <is>
          <t>Empresas</t>
        </is>
      </c>
      <c r="D2" s="6" t="inlineStr">
        <is>
          <t>Región</t>
        </is>
      </c>
      <c r="E2" s="6" t="inlineStr">
        <is>
          <t>Empresas</t>
        </is>
      </c>
    </row>
    <row r="3">
      <c r="A3" t="inlineStr">
        <is>
          <t>Por contactar</t>
        </is>
      </c>
      <c r="B3">
        <f>COUNTIF(CRM!$J:$J,A3)</f>
        <v/>
      </c>
      <c r="D3" t="inlineStr">
        <is>
          <t>Costa</t>
        </is>
      </c>
      <c r="E3">
        <f>COUNTIF(Prospectos!$C:$C,D3)</f>
        <v/>
      </c>
    </row>
    <row r="4">
      <c r="A4" t="inlineStr">
        <is>
          <t>Contactado</t>
        </is>
      </c>
      <c r="B4">
        <f>COUNTIF(CRM!$J:$J,A4)</f>
        <v/>
      </c>
      <c r="D4" t="inlineStr">
        <is>
          <t>Sierra</t>
        </is>
      </c>
      <c r="E4">
        <f>COUNTIF(Prospectos!$C:$C,D4)</f>
        <v/>
      </c>
    </row>
    <row r="5">
      <c r="A5" t="inlineStr">
        <is>
          <t>Respondió / interesado</t>
        </is>
      </c>
      <c r="B5">
        <f>COUNTIF(CRM!$J:$J,A5)</f>
        <v/>
      </c>
      <c r="D5" t="inlineStr">
        <is>
          <t>Amazonía</t>
        </is>
      </c>
      <c r="E5">
        <f>COUNTIF(Prospectos!$C:$C,D5)</f>
        <v/>
      </c>
    </row>
    <row r="6">
      <c r="A6" t="inlineStr">
        <is>
          <t>Visita agendada</t>
        </is>
      </c>
      <c r="B6">
        <f>COUNTIF(CRM!$J:$J,A6)</f>
        <v/>
      </c>
      <c r="D6" t="inlineStr">
        <is>
          <t>Insular</t>
        </is>
      </c>
      <c r="E6">
        <f>COUNTIF(Prospectos!$C:$C,D6)</f>
        <v/>
      </c>
    </row>
    <row r="7">
      <c r="A7" t="inlineStr">
        <is>
          <t>Levantamiento en bodega</t>
        </is>
      </c>
      <c r="B7">
        <f>COUNTIF(CRM!$J:$J,A7)</f>
        <v/>
      </c>
    </row>
    <row r="8">
      <c r="A8" t="inlineStr">
        <is>
          <t>Proforma enviada</t>
        </is>
      </c>
      <c r="B8">
        <f>COUNTIF(CRM!$J:$J,A8)</f>
        <v/>
      </c>
      <c r="D8" s="7" t="inlineStr">
        <is>
          <t>Prospectos por provincia</t>
        </is>
      </c>
    </row>
    <row r="9">
      <c r="A9" t="inlineStr">
        <is>
          <t>Negociación</t>
        </is>
      </c>
      <c r="B9">
        <f>COUNTIF(CRM!$J:$J,A9)</f>
        <v/>
      </c>
      <c r="D9" t="inlineStr">
        <is>
          <t>Guayas</t>
        </is>
      </c>
      <c r="E9">
        <f>COUNTIF(Prospectos!$D:$D,D9)</f>
        <v/>
      </c>
    </row>
    <row r="10">
      <c r="A10" t="inlineStr">
        <is>
          <t>Ganado</t>
        </is>
      </c>
      <c r="B10">
        <f>COUNTIF(CRM!$J:$J,A10)</f>
        <v/>
      </c>
      <c r="D10" t="inlineStr">
        <is>
          <t>Pichincha</t>
        </is>
      </c>
      <c r="E10">
        <f>COUNTIF(Prospectos!$D:$D,D10)</f>
        <v/>
      </c>
    </row>
    <row r="11">
      <c r="A11" t="inlineStr">
        <is>
          <t>Perdido / sin respuesta</t>
        </is>
      </c>
      <c r="B11">
        <f>COUNTIF(CRM!$J:$J,A11)</f>
        <v/>
      </c>
      <c r="D11" t="inlineStr">
        <is>
          <t>Manabí</t>
        </is>
      </c>
      <c r="E11">
        <f>COUNTIF(Prospectos!$D:$D,D11)</f>
        <v/>
      </c>
    </row>
    <row r="12">
      <c r="A12" t="inlineStr">
        <is>
          <t>No aplica</t>
        </is>
      </c>
      <c r="B12">
        <f>COUNTIF(CRM!$J:$J,A12)</f>
        <v/>
      </c>
      <c r="D12" t="inlineStr">
        <is>
          <t>Azuay</t>
        </is>
      </c>
      <c r="E12">
        <f>COUNTIF(Prospectos!$D:$D,D12)</f>
        <v/>
      </c>
    </row>
    <row r="13">
      <c r="A13" s="8" t="inlineStr">
        <is>
          <t>Monto en proformas (sin IVA)</t>
        </is>
      </c>
      <c r="B13" s="9">
        <f>SUM(CRM!R:R)</f>
        <v/>
      </c>
      <c r="D13" t="inlineStr">
        <is>
          <t>Loja</t>
        </is>
      </c>
      <c r="E13">
        <f>COUNTIF(Prospectos!$D:$D,D13)</f>
        <v/>
      </c>
    </row>
    <row r="14">
      <c r="A14" s="8" t="inlineStr">
        <is>
          <t>Seguimientos vencidos</t>
        </is>
      </c>
      <c r="B14">
        <f>COUNTIFS(CRM!O:O,"&lt;"&amp;TODAY(),CRM!O:O,"&lt;&gt;")</f>
        <v/>
      </c>
      <c r="D14" t="inlineStr">
        <is>
          <t>Imbabura</t>
        </is>
      </c>
      <c r="E14">
        <f>COUNTIF(Prospectos!$D:$D,D14)</f>
        <v/>
      </c>
    </row>
    <row r="15">
      <c r="D15" t="inlineStr">
        <is>
          <t>Tungurahua</t>
        </is>
      </c>
      <c r="E15">
        <f>COUNTIF(Prospectos!$D:$D,D15)</f>
        <v/>
      </c>
    </row>
    <row r="16">
      <c r="D16" t="inlineStr">
        <is>
          <t>Chimborazo</t>
        </is>
      </c>
      <c r="E16">
        <f>COUNTIF(Prospectos!$D:$D,D16)</f>
        <v/>
      </c>
    </row>
    <row r="17">
      <c r="D17" t="inlineStr">
        <is>
          <t>El Oro</t>
        </is>
      </c>
      <c r="E17">
        <f>COUNTIF(Prospectos!$D:$D,D17)</f>
        <v/>
      </c>
    </row>
    <row r="18">
      <c r="D18" t="inlineStr">
        <is>
          <t>Pastaza</t>
        </is>
      </c>
      <c r="E18">
        <f>COUNTIF(Prospectos!$D:$D,D18)</f>
        <v/>
      </c>
    </row>
    <row r="19">
      <c r="D19" t="inlineStr">
        <is>
          <t>Cotopaxi</t>
        </is>
      </c>
      <c r="E19">
        <f>COUNTIF(Prospectos!$D:$D,D19)</f>
        <v/>
      </c>
    </row>
    <row r="20">
      <c r="D20" t="inlineStr">
        <is>
          <t>Zamora Chinchipe</t>
        </is>
      </c>
      <c r="E20">
        <f>COUNTIF(Prospectos!$D:$D,D20)</f>
        <v/>
      </c>
    </row>
    <row r="21">
      <c r="D21" t="inlineStr">
        <is>
          <t>Cañar</t>
        </is>
      </c>
      <c r="E21">
        <f>COUNTIF(Prospectos!$D:$D,D21)</f>
        <v/>
      </c>
    </row>
    <row r="22">
      <c r="D22" t="inlineStr">
        <is>
          <t>Bolívar</t>
        </is>
      </c>
      <c r="E22">
        <f>COUNTIF(Prospectos!$D:$D,D22)</f>
        <v/>
      </c>
    </row>
    <row r="23">
      <c r="D23" t="inlineStr">
        <is>
          <t>Orellana</t>
        </is>
      </c>
      <c r="E23">
        <f>COUNTIF(Prospectos!$D:$D,D23)</f>
        <v/>
      </c>
    </row>
    <row r="24">
      <c r="D24" t="inlineStr">
        <is>
          <t>Santa Elena</t>
        </is>
      </c>
      <c r="E24">
        <f>COUNTIF(Prospectos!$D:$D,D24)</f>
        <v/>
      </c>
    </row>
    <row r="25">
      <c r="D25" t="inlineStr">
        <is>
          <t>Carchi</t>
        </is>
      </c>
      <c r="E25">
        <f>COUNTIF(Prospectos!$D:$D,D25)</f>
        <v/>
      </c>
    </row>
    <row r="26">
      <c r="D26" t="inlineStr">
        <is>
          <t>Galápagos</t>
        </is>
      </c>
      <c r="E26">
        <f>COUNTIF(Prospectos!$D:$D,D26)</f>
        <v/>
      </c>
    </row>
    <row r="27">
      <c r="D27" t="inlineStr">
        <is>
          <t>Santo Domingo</t>
        </is>
      </c>
      <c r="E27">
        <f>COUNTIF(Prospectos!$D:$D,D27)</f>
        <v/>
      </c>
    </row>
    <row r="28">
      <c r="D28" t="inlineStr">
        <is>
          <t>Morona Santiago</t>
        </is>
      </c>
      <c r="E28">
        <f>COUNTIF(Prospectos!$D:$D,D28)</f>
        <v/>
      </c>
    </row>
    <row r="29">
      <c r="D29" t="inlineStr">
        <is>
          <t>Sucumbíos</t>
        </is>
      </c>
      <c r="E29">
        <f>COUNTIF(Prospectos!$D:$D,D29)</f>
        <v/>
      </c>
    </row>
    <row r="30">
      <c r="D30" t="inlineStr">
        <is>
          <t>Esmeraldas</t>
        </is>
      </c>
      <c r="E30">
        <f>COUNTIF(Prospectos!$D:$D,D30)</f>
        <v/>
      </c>
    </row>
    <row r="31">
      <c r="D31" t="inlineStr">
        <is>
          <t>Napo</t>
        </is>
      </c>
      <c r="E31">
        <f>COUNTIF(Prospectos!$D:$D,D31)</f>
        <v/>
      </c>
    </row>
    <row r="32">
      <c r="D32" t="inlineStr">
        <is>
          <t>Los Ríos</t>
        </is>
      </c>
      <c r="E32">
        <f>COUNTIF(Prospectos!$D:$D,D32)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4" customWidth="1" min="4" max="4"/>
    <col width="14" customWidth="1" min="5" max="5"/>
    <col width="34" customWidth="1" min="6" max="6"/>
    <col width="26" customWidth="1" min="7" max="7"/>
    <col width="24" customWidth="1" min="8" max="8"/>
    <col width="30" customWidth="1" min="9" max="9"/>
    <col width="30" customWidth="1" min="10" max="10"/>
    <col width="26" customWidth="1" min="11" max="11"/>
    <col width="30" customWidth="1" min="12" max="12"/>
    <col width="28" customWidth="1" min="13" max="13"/>
    <col width="30" customWidth="1" min="14" max="14"/>
    <col width="34" customWidth="1" min="15" max="15"/>
    <col width="18" customWidth="1" min="16" max="16"/>
    <col width="16" customWidth="1" min="17" max="17"/>
    <col width="30" customWidth="1" min="18" max="18"/>
    <col width="16" customWidth="1" min="19" max="19"/>
  </cols>
  <sheetData>
    <row r="1" ht="32" customHeight="1">
      <c r="A1" s="10" t="inlineStr">
        <is>
          <t>ID</t>
        </is>
      </c>
      <c r="B1" s="10" t="inlineStr">
        <is>
          <t>Prioridad</t>
        </is>
      </c>
      <c r="C1" s="10" t="inlineStr">
        <is>
          <t>Región</t>
        </is>
      </c>
      <c r="D1" s="10" t="inlineStr">
        <is>
          <t>Provincia</t>
        </is>
      </c>
      <c r="E1" s="10" t="inlineStr">
        <is>
          <t>Ciudad</t>
        </is>
      </c>
      <c r="F1" s="10" t="inlineStr">
        <is>
          <t>Empresa</t>
        </is>
      </c>
      <c r="G1" s="10" t="inlineStr">
        <is>
          <t>Sector</t>
        </is>
      </c>
      <c r="H1" s="10" t="inlineStr">
        <is>
          <t>Grupo de mensaje</t>
        </is>
      </c>
      <c r="I1" s="10" t="inlineStr">
        <is>
          <t>Necesidad probable</t>
        </is>
      </c>
      <c r="J1" s="10" t="inlineStr">
        <is>
          <t>Producto Racksa sugerido</t>
        </is>
      </c>
      <c r="K1" s="10" t="inlineStr">
        <is>
          <t>Sitio web</t>
        </is>
      </c>
      <c r="L1" s="10" t="inlineStr">
        <is>
          <t>Teléfono público</t>
        </is>
      </c>
      <c r="M1" s="10" t="inlineStr">
        <is>
          <t>Correo público</t>
        </is>
      </c>
      <c r="N1" s="10" t="inlineStr">
        <is>
          <t>Página de contacto</t>
        </is>
      </c>
      <c r="O1" s="10" t="inlineStr">
        <is>
          <t>Dirección / sedes</t>
        </is>
      </c>
      <c r="P1" s="10" t="inlineStr">
        <is>
          <t>Buscar decisor en LinkedIn</t>
        </is>
      </c>
      <c r="Q1" s="10" t="inlineStr">
        <is>
          <t>Ver en Google Maps</t>
        </is>
      </c>
      <c r="R1" s="10" t="inlineStr">
        <is>
          <t>Fuente</t>
        </is>
      </c>
      <c r="S1" s="10" t="inlineStr">
        <is>
          <t>Contacto verificado</t>
        </is>
      </c>
    </row>
    <row r="2">
      <c r="A2" s="11" t="inlineStr">
        <is>
          <t>P001</t>
        </is>
      </c>
      <c r="B2" s="12" t="inlineStr">
        <is>
          <t>A</t>
        </is>
      </c>
      <c r="C2" s="11" t="inlineStr">
        <is>
          <t>Costa</t>
        </is>
      </c>
      <c r="D2" s="11" t="inlineStr">
        <is>
          <t>El Oro</t>
        </is>
      </c>
      <c r="E2" s="11" t="inlineStr">
        <is>
          <t>Machala</t>
        </is>
      </c>
      <c r="F2" s="11" t="inlineStr">
        <is>
          <t>Farmamia</t>
        </is>
      </c>
      <c r="G2" s="11" t="inlineStr">
        <is>
          <t>Farmacia / retail</t>
        </is>
      </c>
      <c r="H2" s="11" t="inlineStr">
        <is>
          <t>Farmacéutica</t>
        </is>
      </c>
      <c r="I2" s="11" t="inlineStr">
        <is>
          <t>Bodega central de farmacias</t>
        </is>
      </c>
      <c r="J2" s="11" t="inlineStr">
        <is>
          <t>Perchas de picking + rack selectivo</t>
        </is>
      </c>
      <c r="K2" s="11" t="inlineStr"/>
      <c r="L2" s="11" t="inlineStr"/>
      <c r="M2" s="11" t="inlineStr"/>
      <c r="N2" s="11" t="inlineStr"/>
      <c r="O2" s="11" t="inlineStr"/>
      <c r="P2" s="13" t="inlineStr">
        <is>
          <t>Abrir</t>
        </is>
      </c>
      <c r="Q2" s="13" t="inlineStr">
        <is>
          <t>Abrir</t>
        </is>
      </c>
      <c r="R2" s="11" t="inlineStr">
        <is>
          <t>Primicias: mayor venta de El Oro 2023</t>
        </is>
      </c>
      <c r="S2" s="11" t="inlineStr">
        <is>
          <t>Pendiente</t>
        </is>
      </c>
    </row>
    <row r="3">
      <c r="A3" s="11" t="inlineStr">
        <is>
          <t>P002</t>
        </is>
      </c>
      <c r="B3" s="12" t="inlineStr">
        <is>
          <t>A</t>
        </is>
      </c>
      <c r="C3" s="11" t="inlineStr">
        <is>
          <t>Costa</t>
        </is>
      </c>
      <c r="D3" s="11" t="inlineStr">
        <is>
          <t>Guayas</t>
        </is>
      </c>
      <c r="E3" s="11" t="inlineStr">
        <is>
          <t>Guayaquil</t>
        </is>
      </c>
      <c r="F3" s="11" t="inlineStr">
        <is>
          <t>Agripac</t>
        </is>
      </c>
      <c r="G3" s="11" t="inlineStr">
        <is>
          <t>Agroinsumos / distribución</t>
        </is>
      </c>
      <c r="H3" s="11" t="inlineStr">
        <is>
          <t>Agroindustria y acuacultura</t>
        </is>
      </c>
      <c r="I3" s="11" t="inlineStr">
        <is>
          <t>Bodegas de agroquímicos y sacos (pallets)</t>
        </is>
      </c>
      <c r="J3" s="11" t="inlineStr">
        <is>
          <t>Rack selectivo para insumos y empaque</t>
        </is>
      </c>
      <c r="K3" s="13" t="inlineStr">
        <is>
          <t>https://www.agripac.com.ec</t>
        </is>
      </c>
      <c r="L3" s="11" t="inlineStr">
        <is>
          <t>(04) 370 3870 / 256 0400</t>
        </is>
      </c>
      <c r="M3" s="11" t="inlineStr">
        <is>
          <t>info@agripac.com.ec</t>
        </is>
      </c>
      <c r="N3" s="13" t="inlineStr">
        <is>
          <t>https://agripac.com.ec/contactanos/</t>
        </is>
      </c>
      <c r="O3" s="11" t="inlineStr">
        <is>
          <t>General Córdova 623 y Padre Solano, Guayaquil</t>
        </is>
      </c>
      <c r="P3" s="13" t="inlineStr">
        <is>
          <t>Abrir</t>
        </is>
      </c>
      <c r="Q3" s="13" t="inlineStr">
        <is>
          <t>Abrir</t>
        </is>
      </c>
      <c r="R3" s="11" t="inlineStr">
        <is>
          <t>Web oficial</t>
        </is>
      </c>
      <c r="S3" s="11" t="inlineStr">
        <is>
          <t>Sí, web oficial 25-oct-2026</t>
        </is>
      </c>
    </row>
    <row r="4">
      <c r="A4" s="11" t="inlineStr">
        <is>
          <t>P003</t>
        </is>
      </c>
      <c r="B4" s="12" t="inlineStr">
        <is>
          <t>A</t>
        </is>
      </c>
      <c r="C4" s="11" t="inlineStr">
        <is>
          <t>Costa</t>
        </is>
      </c>
      <c r="D4" s="11" t="inlineStr">
        <is>
          <t>Guayas</t>
        </is>
      </c>
      <c r="E4" s="11" t="inlineStr">
        <is>
          <t>Guayaquil</t>
        </is>
      </c>
      <c r="F4" s="11" t="inlineStr">
        <is>
          <t>Comandato</t>
        </is>
      </c>
      <c r="G4" s="11" t="inlineStr">
        <is>
          <t>Retail electrodomésticos</t>
        </is>
      </c>
      <c r="H4" s="11" t="inlineStr">
        <is>
          <t>Retail y supermercados</t>
        </is>
      </c>
      <c r="I4" s="11" t="inlineStr">
        <is>
          <t>Bodegas de electrodomésticos</t>
        </is>
      </c>
      <c r="J4" s="11" t="inlineStr">
        <is>
          <t>Rack selectivo para CD + perchas de picking</t>
        </is>
      </c>
      <c r="K4" s="13" t="inlineStr">
        <is>
          <t>https://www.comandato.com</t>
        </is>
      </c>
      <c r="L4" s="11" t="inlineStr"/>
      <c r="M4" s="11" t="inlineStr"/>
      <c r="N4" s="11" t="inlineStr"/>
      <c r="O4" s="11" t="inlineStr"/>
      <c r="P4" s="13" t="inlineStr">
        <is>
          <t>Abrir</t>
        </is>
      </c>
      <c r="Q4" s="13" t="inlineStr">
        <is>
          <t>Abrir</t>
        </is>
      </c>
      <c r="R4" s="11" t="inlineStr">
        <is>
          <t>Web oficial</t>
        </is>
      </c>
      <c r="S4" s="11" t="inlineStr">
        <is>
          <t>Pendiente</t>
        </is>
      </c>
    </row>
    <row r="5">
      <c r="A5" s="11" t="inlineStr">
        <is>
          <t>P004</t>
        </is>
      </c>
      <c r="B5" s="12" t="inlineStr">
        <is>
          <t>A</t>
        </is>
      </c>
      <c r="C5" s="11" t="inlineStr">
        <is>
          <t>Costa</t>
        </is>
      </c>
      <c r="D5" s="11" t="inlineStr">
        <is>
          <t>Guayas</t>
        </is>
      </c>
      <c r="E5" s="11" t="inlineStr">
        <is>
          <t>Guayaquil</t>
        </is>
      </c>
      <c r="F5" s="11" t="inlineStr">
        <is>
          <t>Corporación El Rosado (Mi Comisariato, Ferrisariato)</t>
        </is>
      </c>
      <c r="G5" s="11" t="inlineStr">
        <is>
          <t>Retail / supermercados</t>
        </is>
      </c>
      <c r="H5" s="11" t="inlineStr">
        <is>
          <t>Retail y supermercados</t>
        </is>
      </c>
      <c r="I5" s="11" t="inlineStr">
        <is>
          <t>Centros de distribución y bodegas de tiendas</t>
        </is>
      </c>
      <c r="J5" s="11" t="inlineStr">
        <is>
          <t>Rack selectivo para CD + perchas de picking</t>
        </is>
      </c>
      <c r="K5" s="13" t="inlineStr">
        <is>
          <t>https://www.elrosado.com</t>
        </is>
      </c>
      <c r="L5" s="11" t="inlineStr"/>
      <c r="M5" s="11" t="inlineStr"/>
      <c r="N5" s="11" t="inlineStr"/>
      <c r="O5" s="11" t="inlineStr"/>
      <c r="P5" s="13" t="inlineStr">
        <is>
          <t>Abrir</t>
        </is>
      </c>
      <c r="Q5" s="13" t="inlineStr">
        <is>
          <t>Abrir</t>
        </is>
      </c>
      <c r="R5" s="11" t="inlineStr">
        <is>
          <t>Primicias: mayor venta de Guayas</t>
        </is>
      </c>
      <c r="S5" s="11" t="inlineStr">
        <is>
          <t>Pendiente</t>
        </is>
      </c>
    </row>
    <row r="6">
      <c r="A6" s="11" t="inlineStr">
        <is>
          <t>P005</t>
        </is>
      </c>
      <c r="B6" s="12" t="inlineStr">
        <is>
          <t>A</t>
        </is>
      </c>
      <c r="C6" s="11" t="inlineStr">
        <is>
          <t>Costa</t>
        </is>
      </c>
      <c r="D6" s="11" t="inlineStr">
        <is>
          <t>Guayas</t>
        </is>
      </c>
      <c r="E6" s="11" t="inlineStr">
        <is>
          <t>Guayaquil</t>
        </is>
      </c>
      <c r="F6" s="11" t="inlineStr">
        <is>
          <t>Difare (Cruz Azul, Pharmacy's)</t>
        </is>
      </c>
      <c r="G6" s="11" t="inlineStr">
        <is>
          <t>Farmacéutica / distribución</t>
        </is>
      </c>
      <c r="H6" s="11" t="inlineStr">
        <is>
          <t>Farmacéutica</t>
        </is>
      </c>
      <c r="I6" s="11" t="inlineStr">
        <is>
          <t>CD farmacéutico, picking por unidades</t>
        </is>
      </c>
      <c r="J6" s="11" t="inlineStr">
        <is>
          <t>Perchas de picking + rack selectivo</t>
        </is>
      </c>
      <c r="K6" s="13" t="inlineStr">
        <is>
          <t>https://www.difare.com.ec</t>
        </is>
      </c>
      <c r="L6" s="11" t="inlineStr"/>
      <c r="M6" s="11" t="inlineStr"/>
      <c r="N6" s="13" t="inlineStr">
        <is>
          <t>https://difare.com.ec/contacto</t>
        </is>
      </c>
      <c r="O6" s="11" t="inlineStr"/>
      <c r="P6" s="13" t="inlineStr">
        <is>
          <t>Abrir</t>
        </is>
      </c>
      <c r="Q6" s="13" t="inlineStr">
        <is>
          <t>Abrir</t>
        </is>
      </c>
      <c r="R6" s="11" t="inlineStr">
        <is>
          <t>Web oficial</t>
        </is>
      </c>
      <c r="S6" s="11" t="inlineStr">
        <is>
          <t>Pendiente</t>
        </is>
      </c>
    </row>
    <row r="7">
      <c r="A7" s="11" t="inlineStr">
        <is>
          <t>P006</t>
        </is>
      </c>
      <c r="B7" s="12" t="inlineStr">
        <is>
          <t>A</t>
        </is>
      </c>
      <c r="C7" s="11" t="inlineStr">
        <is>
          <t>Costa</t>
        </is>
      </c>
      <c r="D7" s="11" t="inlineStr">
        <is>
          <t>Guayas</t>
        </is>
      </c>
      <c r="E7" s="11" t="inlineStr">
        <is>
          <t>Guayaquil</t>
        </is>
      </c>
      <c r="F7" s="11" t="inlineStr">
        <is>
          <t>Ecuaquímica</t>
        </is>
      </c>
      <c r="G7" s="11" t="inlineStr">
        <is>
          <t>Agroinsumos / químicos</t>
        </is>
      </c>
      <c r="H7" s="11" t="inlineStr">
        <is>
          <t>Agroindustria y acuacultura</t>
        </is>
      </c>
      <c r="I7" s="11" t="inlineStr">
        <is>
          <t>Bodegas de químicos y productos veterinarios</t>
        </is>
      </c>
      <c r="J7" s="11" t="inlineStr">
        <is>
          <t>Rack selectivo para insumos y empaque</t>
        </is>
      </c>
      <c r="K7" s="13" t="inlineStr">
        <is>
          <t>https://www.ecuaquimica.com.ec</t>
        </is>
      </c>
      <c r="L7" s="11" t="inlineStr">
        <is>
          <t>(04) 550 5040</t>
        </is>
      </c>
      <c r="M7" s="11" t="inlineStr"/>
      <c r="N7" s="13" t="inlineStr">
        <is>
          <t>https://ecuaquimica.com.ec/contactenos/</t>
        </is>
      </c>
      <c r="O7" s="11" t="inlineStr">
        <is>
          <t>Av. José Santiago Castillo y Juan Tanca Marengo, Guayaquil</t>
        </is>
      </c>
      <c r="P7" s="13" t="inlineStr">
        <is>
          <t>Abrir</t>
        </is>
      </c>
      <c r="Q7" s="13" t="inlineStr">
        <is>
          <t>Abrir</t>
        </is>
      </c>
      <c r="R7" s="11" t="inlineStr">
        <is>
          <t>Web oficial</t>
        </is>
      </c>
      <c r="S7" s="11" t="inlineStr">
        <is>
          <t>Sí, web oficial 25-oct-2026</t>
        </is>
      </c>
    </row>
    <row r="8">
      <c r="A8" s="11" t="inlineStr">
        <is>
          <t>P007</t>
        </is>
      </c>
      <c r="B8" s="12" t="inlineStr">
        <is>
          <t>A</t>
        </is>
      </c>
      <c r="C8" s="11" t="inlineStr">
        <is>
          <t>Costa</t>
        </is>
      </c>
      <c r="D8" s="11" t="inlineStr">
        <is>
          <t>Guayas</t>
        </is>
      </c>
      <c r="E8" s="11" t="inlineStr">
        <is>
          <t>Guayaquil</t>
        </is>
      </c>
      <c r="F8" s="11" t="inlineStr">
        <is>
          <t>Industrial Pesquera Santa Priscila</t>
        </is>
      </c>
      <c r="G8" s="11" t="inlineStr">
        <is>
          <t>Camaronera / exportadora</t>
        </is>
      </c>
      <c r="H8" s="11" t="inlineStr">
        <is>
          <t>Agroindustria y acuacultura</t>
        </is>
      </c>
      <c r="I8" s="11" t="inlineStr">
        <is>
          <t>Bodegas de insumos, empaque y producto</t>
        </is>
      </c>
      <c r="J8" s="11" t="inlineStr">
        <is>
          <t>Rack selectivo para insumos y empaque</t>
        </is>
      </c>
      <c r="K8" s="13" t="inlineStr">
        <is>
          <t>https://www.santapriscila.com</t>
        </is>
      </c>
      <c r="L8" s="11" t="inlineStr"/>
      <c r="M8" s="11" t="inlineStr"/>
      <c r="N8" s="11" t="inlineStr"/>
      <c r="O8" s="11" t="inlineStr"/>
      <c r="P8" s="13" t="inlineStr">
        <is>
          <t>Abrir</t>
        </is>
      </c>
      <c r="Q8" s="13" t="inlineStr">
        <is>
          <t>Abrir</t>
        </is>
      </c>
      <c r="R8" s="11" t="inlineStr">
        <is>
          <t>Web oficial</t>
        </is>
      </c>
      <c r="S8" s="11" t="inlineStr">
        <is>
          <t>Pendiente</t>
        </is>
      </c>
    </row>
    <row r="9">
      <c r="A9" s="11" t="inlineStr">
        <is>
          <t>P008</t>
        </is>
      </c>
      <c r="B9" s="12" t="inlineStr">
        <is>
          <t>A</t>
        </is>
      </c>
      <c r="C9" s="11" t="inlineStr">
        <is>
          <t>Costa</t>
        </is>
      </c>
      <c r="D9" s="11" t="inlineStr">
        <is>
          <t>Guayas</t>
        </is>
      </c>
      <c r="E9" s="11" t="inlineStr">
        <is>
          <t>Guayaquil</t>
        </is>
      </c>
      <c r="F9" s="11" t="inlineStr">
        <is>
          <t>Tiendas Industriales Asociadas (TIA)</t>
        </is>
      </c>
      <c r="G9" s="11" t="inlineStr">
        <is>
          <t>Retail / supermercados</t>
        </is>
      </c>
      <c r="H9" s="11" t="inlineStr">
        <is>
          <t>Retail y supermercados</t>
        </is>
      </c>
      <c r="I9" s="11" t="inlineStr">
        <is>
          <t>Red nacional de tiendas y CD</t>
        </is>
      </c>
      <c r="J9" s="11" t="inlineStr">
        <is>
          <t>Rack selectivo para CD + perchas de picking</t>
        </is>
      </c>
      <c r="K9" s="13" t="inlineStr">
        <is>
          <t>https://www.tia.com.ec</t>
        </is>
      </c>
      <c r="L9" s="11" t="inlineStr"/>
      <c r="M9" s="11" t="inlineStr"/>
      <c r="N9" s="11" t="inlineStr"/>
      <c r="O9" s="11" t="inlineStr"/>
      <c r="P9" s="13" t="inlineStr">
        <is>
          <t>Abrir</t>
        </is>
      </c>
      <c r="Q9" s="13" t="inlineStr">
        <is>
          <t>Abrir</t>
        </is>
      </c>
      <c r="R9" s="11" t="inlineStr">
        <is>
          <t>Web oficial</t>
        </is>
      </c>
      <c r="S9" s="11" t="inlineStr">
        <is>
          <t>Pendiente</t>
        </is>
      </c>
    </row>
    <row r="10">
      <c r="A10" s="11" t="inlineStr">
        <is>
          <t>P009</t>
        </is>
      </c>
      <c r="B10" s="12" t="inlineStr">
        <is>
          <t>A</t>
        </is>
      </c>
      <c r="C10" s="11" t="inlineStr">
        <is>
          <t>Costa</t>
        </is>
      </c>
      <c r="D10" s="11" t="inlineStr">
        <is>
          <t>Guayas</t>
        </is>
      </c>
      <c r="E10" s="11" t="inlineStr">
        <is>
          <t>Guayaquil</t>
        </is>
      </c>
      <c r="F10" s="11" t="inlineStr">
        <is>
          <t>Tonicorp</t>
        </is>
      </c>
      <c r="G10" s="11" t="inlineStr">
        <is>
          <t>Lácteos / alimentos</t>
        </is>
      </c>
      <c r="H10" s="11" t="inlineStr">
        <is>
          <t>Alimentos, bebidas y consumo</t>
        </is>
      </c>
      <c r="I10" s="11" t="inlineStr">
        <is>
          <t>Cámaras y bodegas de producto</t>
        </is>
      </c>
      <c r="J10" s="11" t="inlineStr">
        <is>
          <t>Rack selectivo para pallets</t>
        </is>
      </c>
      <c r="K10" s="13" t="inlineStr">
        <is>
          <t>https://www.tonicorp.com</t>
        </is>
      </c>
      <c r="L10" s="11" t="inlineStr"/>
      <c r="M10" s="11" t="inlineStr"/>
      <c r="N10" s="11" t="inlineStr"/>
      <c r="O10" s="11" t="inlineStr"/>
      <c r="P10" s="13" t="inlineStr">
        <is>
          <t>Abrir</t>
        </is>
      </c>
      <c r="Q10" s="13" t="inlineStr">
        <is>
          <t>Abrir</t>
        </is>
      </c>
      <c r="R10" s="11" t="inlineStr">
        <is>
          <t>Web oficial</t>
        </is>
      </c>
      <c r="S10" s="11" t="inlineStr">
        <is>
          <t>Pendiente</t>
        </is>
      </c>
    </row>
    <row r="11">
      <c r="A11" s="11" t="inlineStr">
        <is>
          <t>P010</t>
        </is>
      </c>
      <c r="B11" s="12" t="inlineStr">
        <is>
          <t>A</t>
        </is>
      </c>
      <c r="C11" s="11" t="inlineStr">
        <is>
          <t>Costa</t>
        </is>
      </c>
      <c r="D11" s="11" t="inlineStr">
        <is>
          <t>Manabí</t>
        </is>
      </c>
      <c r="E11" s="11" t="inlineStr">
        <is>
          <t>Manta</t>
        </is>
      </c>
      <c r="F11" s="11" t="inlineStr">
        <is>
          <t>Dipac Manta</t>
        </is>
      </c>
      <c r="G11" s="11" t="inlineStr">
        <is>
          <t>Acero / ferretería</t>
        </is>
      </c>
      <c r="H11" s="11" t="inlineStr">
        <is>
          <t>Ferretería, acero y construcción</t>
        </is>
      </c>
      <c r="I11" s="11" t="inlineStr">
        <is>
          <t>Almacenaje de perfiles (cantilever)</t>
        </is>
      </c>
      <c r="J11" s="11" t="inlineStr">
        <is>
          <t>Rack selectivo + rack para perfiles largos (consultar)</t>
        </is>
      </c>
      <c r="K11" s="13" t="inlineStr">
        <is>
          <t>https://www.dipacmanta.com</t>
        </is>
      </c>
      <c r="L11" s="11" t="inlineStr">
        <is>
          <t>Durán (04) 501 0600 · Cuenca (07) 500 6060 · Ambato (03) 500 0550 · Babahoyo (05) 500 1880</t>
        </is>
      </c>
      <c r="M11" s="11" t="inlineStr">
        <is>
          <t>info@dipacmanta.com</t>
        </is>
      </c>
      <c r="N11" s="13" t="inlineStr">
        <is>
          <t>https://dipacmanta.com/contacto/</t>
        </is>
      </c>
      <c r="O11" s="11" t="inlineStr">
        <is>
          <t>Sucursales en Durán, Cuenca, Ambato, Babahoyo</t>
        </is>
      </c>
      <c r="P11" s="13" t="inlineStr">
        <is>
          <t>Abrir</t>
        </is>
      </c>
      <c r="Q11" s="13" t="inlineStr">
        <is>
          <t>Abrir</t>
        </is>
      </c>
      <c r="R11" s="11" t="inlineStr">
        <is>
          <t>Web oficial</t>
        </is>
      </c>
      <c r="S11" s="11" t="inlineStr">
        <is>
          <t>Sí, web oficial 25-oct-2026</t>
        </is>
      </c>
    </row>
    <row r="12">
      <c r="A12" s="11" t="inlineStr">
        <is>
          <t>P011</t>
        </is>
      </c>
      <c r="B12" s="12" t="inlineStr">
        <is>
          <t>A</t>
        </is>
      </c>
      <c r="C12" s="11" t="inlineStr">
        <is>
          <t>Costa</t>
        </is>
      </c>
      <c r="D12" s="11" t="inlineStr">
        <is>
          <t>Manabí</t>
        </is>
      </c>
      <c r="E12" s="11" t="inlineStr">
        <is>
          <t>Portoviejo</t>
        </is>
      </c>
      <c r="F12" s="11" t="inlineStr">
        <is>
          <t>Farmacias Santamartha</t>
        </is>
      </c>
      <c r="G12" s="11" t="inlineStr">
        <is>
          <t>Farmacia / retail</t>
        </is>
      </c>
      <c r="H12" s="11" t="inlineStr">
        <is>
          <t>Farmacéutica</t>
        </is>
      </c>
      <c r="I12" s="11" t="inlineStr">
        <is>
          <t>Bodega central de farmacias</t>
        </is>
      </c>
      <c r="J12" s="11" t="inlineStr">
        <is>
          <t>Perchas de picking + rack selectivo</t>
        </is>
      </c>
      <c r="K12" s="13" t="inlineStr">
        <is>
          <t>https://www.farmaciassantamartha.com</t>
        </is>
      </c>
      <c r="L12" s="11" t="inlineStr"/>
      <c r="M12" s="11" t="inlineStr"/>
      <c r="N12" s="11" t="inlineStr"/>
      <c r="O12" s="11" t="inlineStr"/>
      <c r="P12" s="13" t="inlineStr">
        <is>
          <t>Abrir</t>
        </is>
      </c>
      <c r="Q12" s="13" t="inlineStr">
        <is>
          <t>Abrir</t>
        </is>
      </c>
      <c r="R12" s="11" t="inlineStr">
        <is>
          <t>El Diario: top 25 Manabí</t>
        </is>
      </c>
      <c r="S12" s="11" t="inlineStr">
        <is>
          <t>Pendiente</t>
        </is>
      </c>
    </row>
    <row r="13">
      <c r="A13" s="11" t="inlineStr">
        <is>
          <t>P012</t>
        </is>
      </c>
      <c r="B13" s="12" t="inlineStr">
        <is>
          <t>A</t>
        </is>
      </c>
      <c r="C13" s="11" t="inlineStr">
        <is>
          <t>Costa</t>
        </is>
      </c>
      <c r="D13" s="11" t="inlineStr">
        <is>
          <t>Manabí</t>
        </is>
      </c>
      <c r="E13" s="11" t="inlineStr">
        <is>
          <t>Montecristi</t>
        </is>
      </c>
      <c r="F13" s="11" t="inlineStr">
        <is>
          <t>La Fabril</t>
        </is>
      </c>
      <c r="G13" s="11" t="inlineStr">
        <is>
          <t>Consumo masivo (aceites, jabones)</t>
        </is>
      </c>
      <c r="H13" s="11" t="inlineStr">
        <is>
          <t>Alimentos, bebidas y consumo</t>
        </is>
      </c>
      <c r="I13" s="11" t="inlineStr">
        <is>
          <t>Bodegas de PT y materia prima</t>
        </is>
      </c>
      <c r="J13" s="11" t="inlineStr">
        <is>
          <t>Rack selectivo para pallets</t>
        </is>
      </c>
      <c r="K13" s="13" t="inlineStr">
        <is>
          <t>https://www.lafabril.com.ec</t>
        </is>
      </c>
      <c r="L13" s="11" t="inlineStr"/>
      <c r="M13" s="11" t="inlineStr"/>
      <c r="N13" s="11" t="inlineStr"/>
      <c r="O13" s="11" t="inlineStr"/>
      <c r="P13" s="13" t="inlineStr">
        <is>
          <t>Abrir</t>
        </is>
      </c>
      <c r="Q13" s="13" t="inlineStr">
        <is>
          <t>Abrir</t>
        </is>
      </c>
      <c r="R13" s="11" t="inlineStr">
        <is>
          <t>Primicias: mayor venta de Manabí</t>
        </is>
      </c>
      <c r="S13" s="11" t="inlineStr">
        <is>
          <t>Pendiente</t>
        </is>
      </c>
    </row>
    <row r="14">
      <c r="A14" s="11" t="inlineStr">
        <is>
          <t>P013</t>
        </is>
      </c>
      <c r="B14" s="12" t="inlineStr">
        <is>
          <t>A</t>
        </is>
      </c>
      <c r="C14" s="11" t="inlineStr">
        <is>
          <t>Sierra</t>
        </is>
      </c>
      <c r="D14" s="11" t="inlineStr">
        <is>
          <t>Azuay</t>
        </is>
      </c>
      <c r="E14" s="11" t="inlineStr">
        <is>
          <t>Cuenca</t>
        </is>
      </c>
      <c r="F14" s="11" t="inlineStr">
        <is>
          <t>Cartopel</t>
        </is>
      </c>
      <c r="G14" s="11" t="inlineStr">
        <is>
          <t>Manufactura cartón</t>
        </is>
      </c>
      <c r="H14" s="11" t="inlineStr">
        <is>
          <t>Manufactura</t>
        </is>
      </c>
      <c r="I14" s="11" t="inlineStr">
        <is>
          <t>Bodegas de bobinas y PT</t>
        </is>
      </c>
      <c r="J14" s="11" t="inlineStr">
        <is>
          <t>Rack selectivo para materia prima y PT</t>
        </is>
      </c>
      <c r="K14" s="13" t="inlineStr">
        <is>
          <t>https://www.cartopel.com</t>
        </is>
      </c>
      <c r="L14" s="11" t="inlineStr">
        <is>
          <t>(07) 286 0600 ext. 7110 · GYE (04) 500 1111 ext. 4110 · UIO (02) 248 4169 · Machala (07) 399 2496</t>
        </is>
      </c>
      <c r="M14" s="11" t="inlineStr"/>
      <c r="N14" s="13" t="inlineStr">
        <is>
          <t>https://www.cartopel.com/contactos/</t>
        </is>
      </c>
      <c r="O14" s="11" t="inlineStr">
        <is>
          <t>Cuenca: Parque Industrial · Machala: CD DICA</t>
        </is>
      </c>
      <c r="P14" s="13" t="inlineStr">
        <is>
          <t>Abrir</t>
        </is>
      </c>
      <c r="Q14" s="13" t="inlineStr">
        <is>
          <t>Abrir</t>
        </is>
      </c>
      <c r="R14" s="11" t="inlineStr">
        <is>
          <t>Primicias / El Mercurio: top Azuay</t>
        </is>
      </c>
      <c r="S14" s="11" t="inlineStr">
        <is>
          <t>Sí, web oficial 25-oct-2026</t>
        </is>
      </c>
    </row>
    <row r="15">
      <c r="A15" s="11" t="inlineStr">
        <is>
          <t>P014</t>
        </is>
      </c>
      <c r="B15" s="12" t="inlineStr">
        <is>
          <t>A</t>
        </is>
      </c>
      <c r="C15" s="11" t="inlineStr">
        <is>
          <t>Sierra</t>
        </is>
      </c>
      <c r="D15" s="11" t="inlineStr">
        <is>
          <t>Azuay</t>
        </is>
      </c>
      <c r="E15" s="11" t="inlineStr">
        <is>
          <t>Cuenca</t>
        </is>
      </c>
      <c r="F15" s="11" t="inlineStr">
        <is>
          <t>Gerardo Ortiz e Hijos (Coral Hipermercados)</t>
        </is>
      </c>
      <c r="G15" s="11" t="inlineStr">
        <is>
          <t>Retail / ferretería</t>
        </is>
      </c>
      <c r="H15" s="11" t="inlineStr">
        <is>
          <t>Retail y supermercados</t>
        </is>
      </c>
      <c r="I15" s="11" t="inlineStr">
        <is>
          <t>CD de hipermercados</t>
        </is>
      </c>
      <c r="J15" s="11" t="inlineStr">
        <is>
          <t>Rack selectivo para CD + perchas de picking</t>
        </is>
      </c>
      <c r="K15" s="13" t="inlineStr">
        <is>
          <t>https://www.gerardoortiz.com</t>
        </is>
      </c>
      <c r="L15" s="11" t="inlineStr"/>
      <c r="M15" s="11" t="inlineStr"/>
      <c r="N15" s="11" t="inlineStr"/>
      <c r="O15" s="11" t="inlineStr"/>
      <c r="P15" s="13" t="inlineStr">
        <is>
          <t>Abrir</t>
        </is>
      </c>
      <c r="Q15" s="13" t="inlineStr">
        <is>
          <t>Abrir</t>
        </is>
      </c>
      <c r="R15" s="11" t="inlineStr">
        <is>
          <t>Web oficial</t>
        </is>
      </c>
      <c r="S15" s="11" t="inlineStr">
        <is>
          <t>Pendiente</t>
        </is>
      </c>
    </row>
    <row r="16">
      <c r="A16" s="11" t="inlineStr">
        <is>
          <t>P015</t>
        </is>
      </c>
      <c r="B16" s="12" t="inlineStr">
        <is>
          <t>A</t>
        </is>
      </c>
      <c r="C16" s="11" t="inlineStr">
        <is>
          <t>Sierra</t>
        </is>
      </c>
      <c r="D16" s="11" t="inlineStr">
        <is>
          <t>Azuay</t>
        </is>
      </c>
      <c r="E16" s="11" t="inlineStr">
        <is>
          <t>Cuenca</t>
        </is>
      </c>
      <c r="F16" s="11" t="inlineStr">
        <is>
          <t>Graiman</t>
        </is>
      </c>
      <c r="G16" s="11" t="inlineStr">
        <is>
          <t>Cerámica / construcción</t>
        </is>
      </c>
      <c r="H16" s="11" t="inlineStr">
        <is>
          <t>Ferretería, acero y construcción</t>
        </is>
      </c>
      <c r="I16" s="11" t="inlineStr">
        <is>
          <t>Almacenaje de cerámica en pallets</t>
        </is>
      </c>
      <c r="J16" s="11" t="inlineStr">
        <is>
          <t>Rack selectivo + rack para perfiles largos (consultar)</t>
        </is>
      </c>
      <c r="K16" s="13" t="inlineStr">
        <is>
          <t>https://www.graiman.com</t>
        </is>
      </c>
      <c r="L16" s="11" t="inlineStr">
        <is>
          <t>WhatsApp +593 99 758 5127</t>
        </is>
      </c>
      <c r="M16" s="11" t="inlineStr"/>
      <c r="N16" s="13" t="inlineStr">
        <is>
          <t>https://www.graiman.com/contacto</t>
        </is>
      </c>
      <c r="O16" s="11" t="inlineStr"/>
      <c r="P16" s="13" t="inlineStr">
        <is>
          <t>Abrir</t>
        </is>
      </c>
      <c r="Q16" s="13" t="inlineStr">
        <is>
          <t>Abrir</t>
        </is>
      </c>
      <c r="R16" s="11" t="inlineStr">
        <is>
          <t>Web oficial</t>
        </is>
      </c>
      <c r="S16" s="11" t="inlineStr">
        <is>
          <t>Sí, web oficial 25-oct-2026</t>
        </is>
      </c>
    </row>
    <row r="17">
      <c r="A17" s="11" t="inlineStr">
        <is>
          <t>P016</t>
        </is>
      </c>
      <c r="B17" s="12" t="inlineStr">
        <is>
          <t>A</t>
        </is>
      </c>
      <c r="C17" s="11" t="inlineStr">
        <is>
          <t>Sierra</t>
        </is>
      </c>
      <c r="D17" s="11" t="inlineStr">
        <is>
          <t>Azuay</t>
        </is>
      </c>
      <c r="E17" s="11" t="inlineStr">
        <is>
          <t>Cuenca</t>
        </is>
      </c>
      <c r="F17" s="11" t="inlineStr">
        <is>
          <t>Indurama (Induglob)</t>
        </is>
      </c>
      <c r="G17" s="11" t="inlineStr">
        <is>
          <t>Electrodomésticos</t>
        </is>
      </c>
      <c r="H17" s="11" t="inlineStr">
        <is>
          <t>Manufactura</t>
        </is>
      </c>
      <c r="I17" s="11" t="inlineStr">
        <is>
          <t>Bodegas de PT y repuestos</t>
        </is>
      </c>
      <c r="J17" s="11" t="inlineStr">
        <is>
          <t>Rack selectivo para materia prima y PT</t>
        </is>
      </c>
      <c r="K17" s="13" t="inlineStr">
        <is>
          <t>https://www.indurama.com</t>
        </is>
      </c>
      <c r="L17" s="11" t="inlineStr">
        <is>
          <t>WhatsApp +593 97 977 7052</t>
        </is>
      </c>
      <c r="M17" s="11" t="inlineStr"/>
      <c r="N17" s="13" t="inlineStr">
        <is>
          <t>https://www.indurama.com/contact-us</t>
        </is>
      </c>
      <c r="O17" s="11" t="inlineStr"/>
      <c r="P17" s="13" t="inlineStr">
        <is>
          <t>Abrir</t>
        </is>
      </c>
      <c r="Q17" s="13" t="inlineStr">
        <is>
          <t>Abrir</t>
        </is>
      </c>
      <c r="R17" s="11" t="inlineStr">
        <is>
          <t>Primicias: mayor venta de Azuay 2023</t>
        </is>
      </c>
      <c r="S17" s="11" t="inlineStr">
        <is>
          <t>Sí, web oficial 25-oct-2026</t>
        </is>
      </c>
    </row>
    <row r="18">
      <c r="A18" s="11" t="inlineStr">
        <is>
          <t>P017</t>
        </is>
      </c>
      <c r="B18" s="12" t="inlineStr">
        <is>
          <t>A</t>
        </is>
      </c>
      <c r="C18" s="11" t="inlineStr">
        <is>
          <t>Sierra</t>
        </is>
      </c>
      <c r="D18" s="11" t="inlineStr">
        <is>
          <t>Azuay</t>
        </is>
      </c>
      <c r="E18" s="11" t="inlineStr">
        <is>
          <t>Cuenca</t>
        </is>
      </c>
      <c r="F18" s="11" t="inlineStr">
        <is>
          <t>Marcimex</t>
        </is>
      </c>
      <c r="G18" s="11" t="inlineStr">
        <is>
          <t>Retail electrodomésticos</t>
        </is>
      </c>
      <c r="H18" s="11" t="inlineStr">
        <is>
          <t>Retail y supermercados</t>
        </is>
      </c>
      <c r="I18" s="11" t="inlineStr">
        <is>
          <t>CD y bodegas de tiendas</t>
        </is>
      </c>
      <c r="J18" s="11" t="inlineStr">
        <is>
          <t>Rack selectivo para CD + perchas de picking</t>
        </is>
      </c>
      <c r="K18" s="13" t="inlineStr">
        <is>
          <t>https://www.marcimex.com</t>
        </is>
      </c>
      <c r="L18" s="11" t="inlineStr"/>
      <c r="M18" s="11" t="inlineStr"/>
      <c r="N18" s="11" t="inlineStr"/>
      <c r="O18" s="11" t="inlineStr"/>
      <c r="P18" s="13" t="inlineStr">
        <is>
          <t>Abrir</t>
        </is>
      </c>
      <c r="Q18" s="13" t="inlineStr">
        <is>
          <t>Abrir</t>
        </is>
      </c>
      <c r="R18" s="11" t="inlineStr">
        <is>
          <t>El Mercurio: top 5 Azuay</t>
        </is>
      </c>
      <c r="S18" s="11" t="inlineStr">
        <is>
          <t>Pendiente</t>
        </is>
      </c>
    </row>
    <row r="19">
      <c r="A19" s="11" t="inlineStr">
        <is>
          <t>P018</t>
        </is>
      </c>
      <c r="B19" s="12" t="inlineStr">
        <is>
          <t>A</t>
        </is>
      </c>
      <c r="C19" s="11" t="inlineStr">
        <is>
          <t>Sierra</t>
        </is>
      </c>
      <c r="D19" s="11" t="inlineStr">
        <is>
          <t>Carchi</t>
        </is>
      </c>
      <c r="E19" s="11" t="inlineStr">
        <is>
          <t>Tulcán</t>
        </is>
      </c>
      <c r="F19" s="11" t="inlineStr">
        <is>
          <t>Distribuidora Suprice</t>
        </is>
      </c>
      <c r="G19" s="11" t="inlineStr">
        <is>
          <t>Distribución alimentos y bebidas</t>
        </is>
      </c>
      <c r="H19" s="11" t="inlineStr">
        <is>
          <t>Alimentos, bebidas y consumo</t>
        </is>
      </c>
      <c r="I19" s="11" t="inlineStr">
        <is>
          <t>CD de distribución</t>
        </is>
      </c>
      <c r="J19" s="11" t="inlineStr">
        <is>
          <t>Rack selectivo para pallets</t>
        </is>
      </c>
      <c r="K19" s="11" t="inlineStr"/>
      <c r="L19" s="11" t="inlineStr"/>
      <c r="M19" s="11" t="inlineStr"/>
      <c r="N19" s="11" t="inlineStr"/>
      <c r="O19" s="11" t="inlineStr"/>
      <c r="P19" s="13" t="inlineStr">
        <is>
          <t>Abrir</t>
        </is>
      </c>
      <c r="Q19" s="13" t="inlineStr">
        <is>
          <t>Abrir</t>
        </is>
      </c>
      <c r="R19" s="11" t="inlineStr">
        <is>
          <t>Primicias: mayor venta de Carchi</t>
        </is>
      </c>
      <c r="S19" s="11" t="inlineStr">
        <is>
          <t>Pendiente</t>
        </is>
      </c>
    </row>
    <row r="20">
      <c r="A20" s="11" t="inlineStr">
        <is>
          <t>P019</t>
        </is>
      </c>
      <c r="B20" s="12" t="inlineStr">
        <is>
          <t>A</t>
        </is>
      </c>
      <c r="C20" s="11" t="inlineStr">
        <is>
          <t>Sierra</t>
        </is>
      </c>
      <c r="D20" s="11" t="inlineStr">
        <is>
          <t>Cotopaxi</t>
        </is>
      </c>
      <c r="E20" s="11" t="inlineStr">
        <is>
          <t>Lasso</t>
        </is>
      </c>
      <c r="F20" s="11" t="inlineStr">
        <is>
          <t>Novacero</t>
        </is>
      </c>
      <c r="G20" s="11" t="inlineStr">
        <is>
          <t>Acero</t>
        </is>
      </c>
      <c r="H20" s="11" t="inlineStr">
        <is>
          <t>Ferretería, acero y construcción</t>
        </is>
      </c>
      <c r="I20" s="11" t="inlineStr">
        <is>
          <t>Almacenaje de perfiles, cubiertas, varilla</t>
        </is>
      </c>
      <c r="J20" s="11" t="inlineStr">
        <is>
          <t>Rack selectivo + rack para perfiles largos (consultar)</t>
        </is>
      </c>
      <c r="K20" s="13" t="inlineStr">
        <is>
          <t>https://www.novacero.com</t>
        </is>
      </c>
      <c r="L20" s="11" t="inlineStr">
        <is>
          <t>(03) 299 8400 Planta Lasso · (04) 380 0600 GYE · (02) 398 1900 UIO · 1800 668 223</t>
        </is>
      </c>
      <c r="M20" s="11" t="inlineStr">
        <is>
          <t>ventasgye@novacero.com / ventasuio@novacero.com</t>
        </is>
      </c>
      <c r="N20" s="13" t="inlineStr">
        <is>
          <t>https://www.novacero.com/contacto/</t>
        </is>
      </c>
      <c r="O20" s="11" t="inlineStr">
        <is>
          <t>Planta Lasso, Panamericana Norte Km 16 (portal proveedores: proveedores.novacero.com)</t>
        </is>
      </c>
      <c r="P20" s="13" t="inlineStr">
        <is>
          <t>Abrir</t>
        </is>
      </c>
      <c r="Q20" s="13" t="inlineStr">
        <is>
          <t>Abrir</t>
        </is>
      </c>
      <c r="R20" s="11" t="inlineStr">
        <is>
          <t>Primicias: mayor venta de Cotopaxi</t>
        </is>
      </c>
      <c r="S20" s="11" t="inlineStr">
        <is>
          <t>Sí, web oficial 25-oct-2026</t>
        </is>
      </c>
    </row>
    <row r="21">
      <c r="A21" s="11" t="inlineStr">
        <is>
          <t>P020</t>
        </is>
      </c>
      <c r="B21" s="12" t="inlineStr">
        <is>
          <t>A</t>
        </is>
      </c>
      <c r="C21" s="11" t="inlineStr">
        <is>
          <t>Sierra</t>
        </is>
      </c>
      <c r="D21" s="11" t="inlineStr">
        <is>
          <t>Loja</t>
        </is>
      </c>
      <c r="E21" s="11" t="inlineStr">
        <is>
          <t>Loja</t>
        </is>
      </c>
      <c r="F21" s="11" t="inlineStr">
        <is>
          <t>Industrial Lojana de Especerías (ILE)</t>
        </is>
      </c>
      <c r="G21" s="11" t="inlineStr">
        <is>
          <t>Alimentos</t>
        </is>
      </c>
      <c r="H21" s="11" t="inlineStr">
        <is>
          <t>Alimentos, bebidas y consumo</t>
        </is>
      </c>
      <c r="I21" s="11" t="inlineStr">
        <is>
          <t>Bodegas de PT y materia prima</t>
        </is>
      </c>
      <c r="J21" s="11" t="inlineStr">
        <is>
          <t>Rack selectivo para pallets</t>
        </is>
      </c>
      <c r="K21" s="13" t="inlineStr">
        <is>
          <t>https://www.ile.com.ec</t>
        </is>
      </c>
      <c r="L21" s="11" t="inlineStr"/>
      <c r="M21" s="11" t="inlineStr"/>
      <c r="N21" s="11" t="inlineStr"/>
      <c r="O21" s="11" t="inlineStr"/>
      <c r="P21" s="13" t="inlineStr">
        <is>
          <t>Abrir</t>
        </is>
      </c>
      <c r="Q21" s="13" t="inlineStr">
        <is>
          <t>Abrir</t>
        </is>
      </c>
      <c r="R21" s="11" t="inlineStr">
        <is>
          <t>Primicias: mayor venta de Loja 2023</t>
        </is>
      </c>
      <c r="S21" s="11" t="inlineStr">
        <is>
          <t>Pendiente</t>
        </is>
      </c>
    </row>
    <row r="22">
      <c r="A22" s="11" t="inlineStr">
        <is>
          <t>P021</t>
        </is>
      </c>
      <c r="B22" s="12" t="inlineStr">
        <is>
          <t>A</t>
        </is>
      </c>
      <c r="C22" s="11" t="inlineStr">
        <is>
          <t>Sierra</t>
        </is>
      </c>
      <c r="D22" s="11" t="inlineStr">
        <is>
          <t>Pichincha</t>
        </is>
      </c>
      <c r="E22" s="11" t="inlineStr">
        <is>
          <t>Quito</t>
        </is>
      </c>
      <c r="F22" s="11" t="inlineStr">
        <is>
          <t>Corporación Favorita (Supermaxi, Kywi)</t>
        </is>
      </c>
      <c r="G22" s="11" t="inlineStr">
        <is>
          <t>Retail / supermercados</t>
        </is>
      </c>
      <c r="H22" s="11" t="inlineStr">
        <is>
          <t>Retail y supermercados</t>
        </is>
      </c>
      <c r="I22" s="11" t="inlineStr">
        <is>
          <t>Centros de distribución nacionales</t>
        </is>
      </c>
      <c r="J22" s="11" t="inlineStr">
        <is>
          <t>Rack selectivo para CD + perchas de picking</t>
        </is>
      </c>
      <c r="K22" s="13" t="inlineStr">
        <is>
          <t>https://www.corporacionfavorita.com</t>
        </is>
      </c>
      <c r="L22" s="11" t="inlineStr"/>
      <c r="M22" s="11" t="inlineStr"/>
      <c r="N22" s="11" t="inlineStr"/>
      <c r="O22" s="11" t="inlineStr"/>
      <c r="P22" s="13" t="inlineStr">
        <is>
          <t>Abrir</t>
        </is>
      </c>
      <c r="Q22" s="13" t="inlineStr">
        <is>
          <t>Abrir</t>
        </is>
      </c>
      <c r="R22" s="11" t="inlineStr">
        <is>
          <t>Primicias: mayor venta de Pichincha</t>
        </is>
      </c>
      <c r="S22" s="11" t="inlineStr">
        <is>
          <t>Pendiente</t>
        </is>
      </c>
    </row>
    <row r="23">
      <c r="A23" s="11" t="inlineStr">
        <is>
          <t>P022</t>
        </is>
      </c>
      <c r="B23" s="12" t="inlineStr">
        <is>
          <t>A</t>
        </is>
      </c>
      <c r="C23" s="11" t="inlineStr">
        <is>
          <t>Sierra</t>
        </is>
      </c>
      <c r="D23" s="11" t="inlineStr">
        <is>
          <t>Pichincha</t>
        </is>
      </c>
      <c r="E23" s="11" t="inlineStr">
        <is>
          <t>Quito</t>
        </is>
      </c>
      <c r="F23" s="11" t="inlineStr">
        <is>
          <t>Corporación GPF (Fybeca, SanaSana)</t>
        </is>
      </c>
      <c r="G23" s="11" t="inlineStr">
        <is>
          <t>Farmacéutica / retail</t>
        </is>
      </c>
      <c r="H23" s="11" t="inlineStr">
        <is>
          <t>Farmacéutica</t>
        </is>
      </c>
      <c r="I23" s="11" t="inlineStr">
        <is>
          <t>CD farmacéutico</t>
        </is>
      </c>
      <c r="J23" s="11" t="inlineStr">
        <is>
          <t>Perchas de picking + rack selectivo</t>
        </is>
      </c>
      <c r="K23" s="13" t="inlineStr">
        <is>
          <t>https://www.corporaciongpf.com</t>
        </is>
      </c>
      <c r="L23" s="11" t="inlineStr"/>
      <c r="M23" s="11" t="inlineStr"/>
      <c r="N23" s="11" t="inlineStr"/>
      <c r="O23" s="11" t="inlineStr"/>
      <c r="P23" s="13" t="inlineStr">
        <is>
          <t>Abrir</t>
        </is>
      </c>
      <c r="Q23" s="13" t="inlineStr">
        <is>
          <t>Abrir</t>
        </is>
      </c>
      <c r="R23" s="11" t="inlineStr">
        <is>
          <t>Web oficial</t>
        </is>
      </c>
      <c r="S23" s="11" t="inlineStr">
        <is>
          <t>Pendiente</t>
        </is>
      </c>
    </row>
    <row r="24">
      <c r="A24" s="11" t="inlineStr">
        <is>
          <t>P023</t>
        </is>
      </c>
      <c r="B24" s="12" t="inlineStr">
        <is>
          <t>A</t>
        </is>
      </c>
      <c r="C24" s="11" t="inlineStr">
        <is>
          <t>Sierra</t>
        </is>
      </c>
      <c r="D24" s="11" t="inlineStr">
        <is>
          <t>Pichincha</t>
        </is>
      </c>
      <c r="E24" s="11" t="inlineStr">
        <is>
          <t>Quito</t>
        </is>
      </c>
      <c r="F24" s="11" t="inlineStr">
        <is>
          <t>Farmaenlace (Medicity, Farmacias Económicas)</t>
        </is>
      </c>
      <c r="G24" s="11" t="inlineStr">
        <is>
          <t>Farmacéutica / retail</t>
        </is>
      </c>
      <c r="H24" s="11" t="inlineStr">
        <is>
          <t>Farmacéutica</t>
        </is>
      </c>
      <c r="I24" s="11" t="inlineStr">
        <is>
          <t>CD farmacéutico</t>
        </is>
      </c>
      <c r="J24" s="11" t="inlineStr">
        <is>
          <t>Perchas de picking + rack selectivo</t>
        </is>
      </c>
      <c r="K24" s="13" t="inlineStr">
        <is>
          <t>https://www.farmaenlace.com</t>
        </is>
      </c>
      <c r="L24" s="11" t="inlineStr">
        <is>
          <t>(02) 299 3100</t>
        </is>
      </c>
      <c r="M24" s="11" t="inlineStr">
        <is>
          <t>servicioalcliente@farmaenlace.com</t>
        </is>
      </c>
      <c r="N24" s="11" t="inlineStr"/>
      <c r="O24" s="11" t="inlineStr">
        <is>
          <t>Av. Portugal E12-72 y Eloy Alfaro, Quito</t>
        </is>
      </c>
      <c r="P24" s="13" t="inlineStr">
        <is>
          <t>Abrir</t>
        </is>
      </c>
      <c r="Q24" s="13" t="inlineStr">
        <is>
          <t>Abrir</t>
        </is>
      </c>
      <c r="R24" s="11" t="inlineStr">
        <is>
          <t>Web oficial</t>
        </is>
      </c>
      <c r="S24" s="11" t="inlineStr">
        <is>
          <t>Sí, web oficial 25-oct-2026</t>
        </is>
      </c>
    </row>
    <row r="25">
      <c r="A25" s="11" t="inlineStr">
        <is>
          <t>P024</t>
        </is>
      </c>
      <c r="B25" s="12" t="inlineStr">
        <is>
          <t>A</t>
        </is>
      </c>
      <c r="C25" s="11" t="inlineStr">
        <is>
          <t>Sierra</t>
        </is>
      </c>
      <c r="D25" s="11" t="inlineStr">
        <is>
          <t>Pichincha</t>
        </is>
      </c>
      <c r="E25" s="11" t="inlineStr">
        <is>
          <t>Quito</t>
        </is>
      </c>
      <c r="F25" s="11" t="inlineStr">
        <is>
          <t>Kywi</t>
        </is>
      </c>
      <c r="G25" s="11" t="inlineStr">
        <is>
          <t>Ferretería</t>
        </is>
      </c>
      <c r="H25" s="11" t="inlineStr">
        <is>
          <t>Ferretería, acero y construcción</t>
        </is>
      </c>
      <c r="I25" s="11" t="inlineStr">
        <is>
          <t>Bodegas y CD de ferretería</t>
        </is>
      </c>
      <c r="J25" s="11" t="inlineStr">
        <is>
          <t>Rack selectivo + rack para perfiles largos (consultar)</t>
        </is>
      </c>
      <c r="K25" s="13" t="inlineStr">
        <is>
          <t>https://www.kywi.com.ec</t>
        </is>
      </c>
      <c r="L25" s="11" t="inlineStr"/>
      <c r="M25" s="11" t="inlineStr"/>
      <c r="N25" s="11" t="inlineStr"/>
      <c r="O25" s="11" t="inlineStr"/>
      <c r="P25" s="13" t="inlineStr">
        <is>
          <t>Abrir</t>
        </is>
      </c>
      <c r="Q25" s="13" t="inlineStr">
        <is>
          <t>Abrir</t>
        </is>
      </c>
      <c r="R25" s="11" t="inlineStr">
        <is>
          <t>Web oficial</t>
        </is>
      </c>
      <c r="S25" s="11" t="inlineStr">
        <is>
          <t>Pendiente</t>
        </is>
      </c>
    </row>
    <row r="26">
      <c r="A26" s="11" t="inlineStr">
        <is>
          <t>P025</t>
        </is>
      </c>
      <c r="B26" s="12" t="inlineStr">
        <is>
          <t>A</t>
        </is>
      </c>
      <c r="C26" s="11" t="inlineStr">
        <is>
          <t>Sierra</t>
        </is>
      </c>
      <c r="D26" s="11" t="inlineStr">
        <is>
          <t>Pichincha</t>
        </is>
      </c>
      <c r="E26" s="11" t="inlineStr">
        <is>
          <t>Quito</t>
        </is>
      </c>
      <c r="F26" s="11" t="inlineStr">
        <is>
          <t>Leterago del Ecuador</t>
        </is>
      </c>
      <c r="G26" s="11" t="inlineStr">
        <is>
          <t>Distribución farmacéutica</t>
        </is>
      </c>
      <c r="H26" s="11" t="inlineStr">
        <is>
          <t>Farmacéutica</t>
        </is>
      </c>
      <c r="I26" s="11" t="inlineStr">
        <is>
          <t>CD farmacéutico</t>
        </is>
      </c>
      <c r="J26" s="11" t="inlineStr">
        <is>
          <t>Perchas de picking + rack selectivo</t>
        </is>
      </c>
      <c r="K26" s="13" t="inlineStr">
        <is>
          <t>https://www.leterago.com.ec</t>
        </is>
      </c>
      <c r="L26" s="11" t="inlineStr"/>
      <c r="M26" s="11" t="inlineStr"/>
      <c r="N26" s="11" t="inlineStr"/>
      <c r="O26" s="11" t="inlineStr"/>
      <c r="P26" s="13" t="inlineStr">
        <is>
          <t>Abrir</t>
        </is>
      </c>
      <c r="Q26" s="13" t="inlineStr">
        <is>
          <t>Abrir</t>
        </is>
      </c>
      <c r="R26" s="11" t="inlineStr">
        <is>
          <t>Web oficial</t>
        </is>
      </c>
      <c r="S26" s="11" t="inlineStr">
        <is>
          <t>Pendiente</t>
        </is>
      </c>
    </row>
    <row r="27">
      <c r="A27" s="11" t="inlineStr">
        <is>
          <t>P026</t>
        </is>
      </c>
      <c r="B27" s="12" t="inlineStr">
        <is>
          <t>A</t>
        </is>
      </c>
      <c r="C27" s="11" t="inlineStr">
        <is>
          <t>Sierra</t>
        </is>
      </c>
      <c r="D27" s="11" t="inlineStr">
        <is>
          <t>Pichincha</t>
        </is>
      </c>
      <c r="E27" s="11" t="inlineStr">
        <is>
          <t>Quito</t>
        </is>
      </c>
      <c r="F27" s="11" t="inlineStr">
        <is>
          <t>Pronaca</t>
        </is>
      </c>
      <c r="G27" s="11" t="inlineStr">
        <is>
          <t>Alimentos</t>
        </is>
      </c>
      <c r="H27" s="11" t="inlineStr">
        <is>
          <t>Alimentos, bebidas y consumo</t>
        </is>
      </c>
      <c r="I27" s="11" t="inlineStr">
        <is>
          <t>Bodegas y cámaras en varias provincias</t>
        </is>
      </c>
      <c r="J27" s="11" t="inlineStr">
        <is>
          <t>Rack selectivo para pallets</t>
        </is>
      </c>
      <c r="K27" s="13" t="inlineStr">
        <is>
          <t>https://www.pronaca.com</t>
        </is>
      </c>
      <c r="L27" s="11" t="inlineStr"/>
      <c r="M27" s="11" t="inlineStr"/>
      <c r="N27" s="13" t="inlineStr">
        <is>
          <t>https://pronaca.com/contactanos/</t>
        </is>
      </c>
      <c r="O27" s="11" t="inlineStr"/>
      <c r="P27" s="13" t="inlineStr">
        <is>
          <t>Abrir</t>
        </is>
      </c>
      <c r="Q27" s="13" t="inlineStr">
        <is>
          <t>Abrir</t>
        </is>
      </c>
      <c r="R27" s="11" t="inlineStr">
        <is>
          <t>Web oficial</t>
        </is>
      </c>
      <c r="S27" s="11" t="inlineStr">
        <is>
          <t>Pendiente</t>
        </is>
      </c>
    </row>
    <row r="28">
      <c r="A28" s="11" t="inlineStr">
        <is>
          <t>P027</t>
        </is>
      </c>
      <c r="B28" s="12" t="inlineStr">
        <is>
          <t>A</t>
        </is>
      </c>
      <c r="C28" s="11" t="inlineStr">
        <is>
          <t>Sierra</t>
        </is>
      </c>
      <c r="D28" s="11" t="inlineStr">
        <is>
          <t>Pichincha</t>
        </is>
      </c>
      <c r="E28" s="11" t="inlineStr">
        <is>
          <t>Quito</t>
        </is>
      </c>
      <c r="F28" s="11" t="inlineStr">
        <is>
          <t>Quifatex</t>
        </is>
      </c>
      <c r="G28" s="11" t="inlineStr">
        <is>
          <t>Distribución farmacéutica y consumo</t>
        </is>
      </c>
      <c r="H28" s="11" t="inlineStr">
        <is>
          <t>Farmacéutica</t>
        </is>
      </c>
      <c r="I28" s="11" t="inlineStr">
        <is>
          <t>CD de distribución nacional</t>
        </is>
      </c>
      <c r="J28" s="11" t="inlineStr">
        <is>
          <t>Perchas de picking + rack selectivo</t>
        </is>
      </c>
      <c r="K28" s="13" t="inlineStr">
        <is>
          <t>https://www.quifatex.com</t>
        </is>
      </c>
      <c r="L28" s="11" t="inlineStr">
        <is>
          <t>02 299 5200 / 1800 784 328 / WhatsApp 099 722 9922</t>
        </is>
      </c>
      <c r="M28" s="11" t="inlineStr">
        <is>
          <t>comunicaciones@quifatex.com</t>
        </is>
      </c>
      <c r="N28" s="13" t="inlineStr">
        <is>
          <t>https://quifatex.com/es/contactanos</t>
        </is>
      </c>
      <c r="O28" s="11" t="inlineStr">
        <is>
          <t>CD Quito: Panamericana Norte Km 14,5 · CD Guayaquil: Pascuales Km 14,5 vía Daule</t>
        </is>
      </c>
      <c r="P28" s="13" t="inlineStr">
        <is>
          <t>Abrir</t>
        </is>
      </c>
      <c r="Q28" s="13" t="inlineStr">
        <is>
          <t>Abrir</t>
        </is>
      </c>
      <c r="R28" s="11" t="inlineStr">
        <is>
          <t>Web oficial</t>
        </is>
      </c>
      <c r="S28" s="11" t="inlineStr">
        <is>
          <t>Sí, web oficial 25-oct-2026</t>
        </is>
      </c>
    </row>
    <row r="29">
      <c r="A29" s="11" t="inlineStr">
        <is>
          <t>P028</t>
        </is>
      </c>
      <c r="B29" s="12" t="inlineStr">
        <is>
          <t>A</t>
        </is>
      </c>
      <c r="C29" s="11" t="inlineStr">
        <is>
          <t>Sierra</t>
        </is>
      </c>
      <c r="D29" s="11" t="inlineStr">
        <is>
          <t>Tungurahua</t>
        </is>
      </c>
      <c r="E29" s="11" t="inlineStr">
        <is>
          <t>Ambato</t>
        </is>
      </c>
      <c r="F29" s="11" t="inlineStr">
        <is>
          <t>Ambacar</t>
        </is>
      </c>
      <c r="G29" s="11" t="inlineStr">
        <is>
          <t>Automotriz</t>
        </is>
      </c>
      <c r="H29" s="11" t="inlineStr">
        <is>
          <t>Automotriz y repuestos</t>
        </is>
      </c>
      <c r="I29" s="11" t="inlineStr">
        <is>
          <t>Bodegas de repuestos (perchas)</t>
        </is>
      </c>
      <c r="J29" s="11" t="inlineStr">
        <is>
          <t>Perchas de picking para repuestos</t>
        </is>
      </c>
      <c r="K29" s="13" t="inlineStr">
        <is>
          <t>https://www.ambacar.ec</t>
        </is>
      </c>
      <c r="L29" s="11" t="inlineStr"/>
      <c r="M29" s="11" t="inlineStr"/>
      <c r="N29" s="11" t="inlineStr"/>
      <c r="O29" s="11" t="inlineStr"/>
      <c r="P29" s="13" t="inlineStr">
        <is>
          <t>Abrir</t>
        </is>
      </c>
      <c r="Q29" s="13" t="inlineStr">
        <is>
          <t>Abrir</t>
        </is>
      </c>
      <c r="R29" s="11" t="inlineStr">
        <is>
          <t>Primicias: mayor venta de Tungurahua</t>
        </is>
      </c>
      <c r="S29" s="11" t="inlineStr">
        <is>
          <t>Pendiente</t>
        </is>
      </c>
    </row>
    <row r="30">
      <c r="A30" s="11" t="inlineStr">
        <is>
          <t>P029</t>
        </is>
      </c>
      <c r="B30" s="12" t="inlineStr">
        <is>
          <t>A</t>
        </is>
      </c>
      <c r="C30" s="11" t="inlineStr">
        <is>
          <t>Sierra</t>
        </is>
      </c>
      <c r="D30" s="11" t="inlineStr">
        <is>
          <t>Tungurahua</t>
        </is>
      </c>
      <c r="E30" s="11" t="inlineStr">
        <is>
          <t>Ambato</t>
        </is>
      </c>
      <c r="F30" s="11" t="inlineStr">
        <is>
          <t>Megaprofer</t>
        </is>
      </c>
      <c r="G30" s="11" t="inlineStr">
        <is>
          <t>Ferretería</t>
        </is>
      </c>
      <c r="H30" s="11" t="inlineStr">
        <is>
          <t>Ferretería, acero y construcción</t>
        </is>
      </c>
      <c r="I30" s="11" t="inlineStr">
        <is>
          <t>Bodegas de materiales</t>
        </is>
      </c>
      <c r="J30" s="11" t="inlineStr">
        <is>
          <t>Rack selectivo + rack para perfiles largos (consultar)</t>
        </is>
      </c>
      <c r="K30" s="13" t="inlineStr">
        <is>
          <t>https://www.megaprofer.com</t>
        </is>
      </c>
      <c r="L30" s="11" t="inlineStr">
        <is>
          <t>(03) 282 7470 Ambato · (02) 382 7470 · 099 497 3073</t>
        </is>
      </c>
      <c r="M30" s="11" t="inlineStr">
        <is>
          <t>info@megaprofer.com</t>
        </is>
      </c>
      <c r="N30" s="13" t="inlineStr">
        <is>
          <t>https://www.megaprofer.com/contact.html</t>
        </is>
      </c>
      <c r="O30" s="11" t="inlineStr">
        <is>
          <t>Matriz Quito; sucursales Ambato y Guayaquil</t>
        </is>
      </c>
      <c r="P30" s="13" t="inlineStr">
        <is>
          <t>Abrir</t>
        </is>
      </c>
      <c r="Q30" s="13" t="inlineStr">
        <is>
          <t>Abrir</t>
        </is>
      </c>
      <c r="R30" s="11" t="inlineStr">
        <is>
          <t>Web oficial</t>
        </is>
      </c>
      <c r="S30" s="11" t="inlineStr">
        <is>
          <t>Sí, web oficial 25-oct-2026</t>
        </is>
      </c>
    </row>
    <row r="31">
      <c r="A31" s="11" t="inlineStr">
        <is>
          <t>P030</t>
        </is>
      </c>
      <c r="B31" s="12" t="inlineStr">
        <is>
          <t>A</t>
        </is>
      </c>
      <c r="C31" s="11" t="inlineStr">
        <is>
          <t>Sierra</t>
        </is>
      </c>
      <c r="D31" s="11" t="inlineStr">
        <is>
          <t>Tungurahua</t>
        </is>
      </c>
      <c r="E31" s="11" t="inlineStr">
        <is>
          <t>Ambato</t>
        </is>
      </c>
      <c r="F31" s="11" t="inlineStr">
        <is>
          <t>Plasticaucho Industrial</t>
        </is>
      </c>
      <c r="G31" s="11" t="inlineStr">
        <is>
          <t>Manufactura calzado</t>
        </is>
      </c>
      <c r="H31" s="11" t="inlineStr">
        <is>
          <t>Manufactura</t>
        </is>
      </c>
      <c r="I31" s="11" t="inlineStr">
        <is>
          <t>Bodegas de PT y materia prima</t>
        </is>
      </c>
      <c r="J31" s="11" t="inlineStr">
        <is>
          <t>Rack selectivo para materia prima y PT</t>
        </is>
      </c>
      <c r="K31" s="13" t="inlineStr">
        <is>
          <t>https://www.plasticaucho.com</t>
        </is>
      </c>
      <c r="L31" s="11" t="inlineStr"/>
      <c r="M31" s="11" t="inlineStr"/>
      <c r="N31" s="11" t="inlineStr"/>
      <c r="O31" s="11" t="inlineStr"/>
      <c r="P31" s="13" t="inlineStr">
        <is>
          <t>Abrir</t>
        </is>
      </c>
      <c r="Q31" s="13" t="inlineStr">
        <is>
          <t>Abrir</t>
        </is>
      </c>
      <c r="R31" s="11" t="inlineStr">
        <is>
          <t>Web oficial</t>
        </is>
      </c>
      <c r="S31" s="11" t="inlineStr">
        <is>
          <t>Pendiente</t>
        </is>
      </c>
    </row>
    <row r="32">
      <c r="A32" s="11" t="inlineStr">
        <is>
          <t>P031</t>
        </is>
      </c>
      <c r="B32" s="12" t="inlineStr">
        <is>
          <t>A</t>
        </is>
      </c>
      <c r="C32" s="11" t="inlineStr">
        <is>
          <t>Amazonía</t>
        </is>
      </c>
      <c r="D32" s="11" t="inlineStr">
        <is>
          <t>Sucumbíos</t>
        </is>
      </c>
      <c r="E32" s="11" t="inlineStr">
        <is>
          <t>Lago Agrio</t>
        </is>
      </c>
      <c r="F32" s="11" t="inlineStr">
        <is>
          <t>Román Hermanos</t>
        </is>
      </c>
      <c r="G32" s="11" t="inlineStr">
        <is>
          <t>Logística</t>
        </is>
      </c>
      <c r="H32" s="11" t="inlineStr">
        <is>
          <t>Logística y courier</t>
        </is>
      </c>
      <c r="I32" s="11" t="inlineStr">
        <is>
          <t>Bodegas logísticas</t>
        </is>
      </c>
      <c r="J32" s="11" t="inlineStr">
        <is>
          <t>Rack selectivo + perchas + mezzanine (consultar)</t>
        </is>
      </c>
      <c r="K32" s="11" t="inlineStr"/>
      <c r="L32" s="11" t="inlineStr"/>
      <c r="M32" s="11" t="inlineStr"/>
      <c r="N32" s="11" t="inlineStr"/>
      <c r="O32" s="11" t="inlineStr"/>
      <c r="P32" s="13" t="inlineStr">
        <is>
          <t>Abrir</t>
        </is>
      </c>
      <c r="Q32" s="13" t="inlineStr">
        <is>
          <t>Abrir</t>
        </is>
      </c>
      <c r="R32" s="11" t="inlineStr">
        <is>
          <t>Primicias: mayor venta de Sucumbíos</t>
        </is>
      </c>
      <c r="S32" s="11" t="inlineStr">
        <is>
          <t>Pendiente</t>
        </is>
      </c>
    </row>
    <row r="33">
      <c r="A33" s="11" t="inlineStr">
        <is>
          <t>P032</t>
        </is>
      </c>
      <c r="B33" s="12" t="inlineStr">
        <is>
          <t>A</t>
        </is>
      </c>
      <c r="C33" s="11" t="inlineStr">
        <is>
          <t>Amazonía</t>
        </is>
      </c>
      <c r="D33" s="11" t="inlineStr">
        <is>
          <t>Zamora Chinchipe</t>
        </is>
      </c>
      <c r="E33" s="11" t="inlineStr">
        <is>
          <t>El Pangui</t>
        </is>
      </c>
      <c r="F33" s="11" t="inlineStr">
        <is>
          <t>Ecuacorriente (Mirador)</t>
        </is>
      </c>
      <c r="G33" s="11" t="inlineStr">
        <is>
          <t>Minería</t>
        </is>
      </c>
      <c r="H33" s="11" t="inlineStr">
        <is>
          <t>Minería, petróleo y energía</t>
        </is>
      </c>
      <c r="I33" s="11" t="inlineStr">
        <is>
          <t>Bodegas de repuestos e insumos mineros</t>
        </is>
      </c>
      <c r="J33" s="11" t="inlineStr">
        <is>
          <t>Perchas para repuestos + rack selectivo</t>
        </is>
      </c>
      <c r="K33" s="13" t="inlineStr">
        <is>
          <t>https://www.ecuacorriente.com</t>
        </is>
      </c>
      <c r="L33" s="11" t="inlineStr"/>
      <c r="M33" s="11" t="inlineStr"/>
      <c r="N33" s="11" t="inlineStr"/>
      <c r="O33" s="11" t="inlineStr"/>
      <c r="P33" s="13" t="inlineStr">
        <is>
          <t>Abrir</t>
        </is>
      </c>
      <c r="Q33" s="13" t="inlineStr">
        <is>
          <t>Abrir</t>
        </is>
      </c>
      <c r="R33" s="11" t="inlineStr">
        <is>
          <t>Primicias: mayor venta de Zamora Chinchipe</t>
        </is>
      </c>
      <c r="S33" s="11" t="inlineStr">
        <is>
          <t>Pendiente</t>
        </is>
      </c>
    </row>
    <row r="34">
      <c r="A34" s="11" t="inlineStr">
        <is>
          <t>P033</t>
        </is>
      </c>
      <c r="B34" s="14" t="inlineStr">
        <is>
          <t>B</t>
        </is>
      </c>
      <c r="C34" s="11" t="inlineStr">
        <is>
          <t>Costa</t>
        </is>
      </c>
      <c r="D34" s="11" t="inlineStr">
        <is>
          <t>El Oro</t>
        </is>
      </c>
      <c r="E34" s="11" t="inlineStr">
        <is>
          <t>Machala</t>
        </is>
      </c>
      <c r="F34" s="11" t="inlineStr">
        <is>
          <t>Promaoro</t>
        </is>
      </c>
      <c r="G34" s="11" t="inlineStr">
        <is>
          <t>Camaronera / procesadora</t>
        </is>
      </c>
      <c r="H34" s="11" t="inlineStr">
        <is>
          <t>Agroindustria y acuacultura</t>
        </is>
      </c>
      <c r="I34" s="11" t="inlineStr">
        <is>
          <t>Bodegas de empaque y PT</t>
        </is>
      </c>
      <c r="J34" s="11" t="inlineStr">
        <is>
          <t>Rack selectivo para insumos y empaque</t>
        </is>
      </c>
      <c r="K34" s="11" t="inlineStr"/>
      <c r="L34" s="11" t="inlineStr"/>
      <c r="M34" s="11" t="inlineStr"/>
      <c r="N34" s="11" t="inlineStr"/>
      <c r="O34" s="11" t="inlineStr"/>
      <c r="P34" s="13" t="inlineStr">
        <is>
          <t>Abrir</t>
        </is>
      </c>
      <c r="Q34" s="13" t="inlineStr">
        <is>
          <t>Abrir</t>
        </is>
      </c>
      <c r="R34" s="11" t="inlineStr">
        <is>
          <t>Primicias: top El Oro</t>
        </is>
      </c>
      <c r="S34" s="11" t="inlineStr">
        <is>
          <t>Pendiente</t>
        </is>
      </c>
    </row>
    <row r="35">
      <c r="A35" s="11" t="inlineStr">
        <is>
          <t>P034</t>
        </is>
      </c>
      <c r="B35" s="14" t="inlineStr">
        <is>
          <t>B</t>
        </is>
      </c>
      <c r="C35" s="11" t="inlineStr">
        <is>
          <t>Costa</t>
        </is>
      </c>
      <c r="D35" s="11" t="inlineStr">
        <is>
          <t>Esmeraldas</t>
        </is>
      </c>
      <c r="E35" s="11" t="inlineStr">
        <is>
          <t>Esmeraldas</t>
        </is>
      </c>
      <c r="F35" s="11" t="inlineStr">
        <is>
          <t>Palmar de Los Esteros (Palesema)</t>
        </is>
      </c>
      <c r="G35" s="11" t="inlineStr">
        <is>
          <t>Palma aceitera</t>
        </is>
      </c>
      <c r="H35" s="11" t="inlineStr">
        <is>
          <t>Agroindustria y acuacultura</t>
        </is>
      </c>
      <c r="I35" s="11" t="inlineStr">
        <is>
          <t>Bodegas de insumos</t>
        </is>
      </c>
      <c r="J35" s="11" t="inlineStr">
        <is>
          <t>Rack selectivo para insumos y empaque</t>
        </is>
      </c>
      <c r="K35" s="13" t="inlineStr">
        <is>
          <t>https://www.palesema.com</t>
        </is>
      </c>
      <c r="L35" s="11" t="inlineStr"/>
      <c r="M35" s="11" t="inlineStr"/>
      <c r="N35" s="11" t="inlineStr"/>
      <c r="O35" s="11" t="inlineStr"/>
      <c r="P35" s="13" t="inlineStr">
        <is>
          <t>Abrir</t>
        </is>
      </c>
      <c r="Q35" s="13" t="inlineStr">
        <is>
          <t>Abrir</t>
        </is>
      </c>
      <c r="R35" s="11" t="inlineStr">
        <is>
          <t>Primicias: mayor venta de Esmeraldas</t>
        </is>
      </c>
      <c r="S35" s="11" t="inlineStr">
        <is>
          <t>Pendiente</t>
        </is>
      </c>
    </row>
    <row r="36">
      <c r="A36" s="11" t="inlineStr">
        <is>
          <t>P035</t>
        </is>
      </c>
      <c r="B36" s="14" t="inlineStr">
        <is>
          <t>B</t>
        </is>
      </c>
      <c r="C36" s="11" t="inlineStr">
        <is>
          <t>Costa</t>
        </is>
      </c>
      <c r="D36" s="11" t="inlineStr">
        <is>
          <t>Guayas</t>
        </is>
      </c>
      <c r="E36" s="11" t="inlineStr">
        <is>
          <t>Guayaquil</t>
        </is>
      </c>
      <c r="F36" s="11" t="inlineStr">
        <is>
          <t>Almacenes De Prati</t>
        </is>
      </c>
      <c r="G36" s="11" t="inlineStr">
        <is>
          <t>Retail / moda</t>
        </is>
      </c>
      <c r="H36" s="11" t="inlineStr">
        <is>
          <t>Retail y supermercados</t>
        </is>
      </c>
      <c r="I36" s="11" t="inlineStr">
        <is>
          <t>CD de mercadería, perchas de picking</t>
        </is>
      </c>
      <c r="J36" s="11" t="inlineStr">
        <is>
          <t>Rack selectivo para CD + perchas de picking</t>
        </is>
      </c>
      <c r="K36" s="13" t="inlineStr">
        <is>
          <t>https://www.deprati.com.ec</t>
        </is>
      </c>
      <c r="L36" s="11" t="inlineStr"/>
      <c r="M36" s="11" t="inlineStr"/>
      <c r="N36" s="11" t="inlineStr"/>
      <c r="O36" s="11" t="inlineStr"/>
      <c r="P36" s="13" t="inlineStr">
        <is>
          <t>Abrir</t>
        </is>
      </c>
      <c r="Q36" s="13" t="inlineStr">
        <is>
          <t>Abrir</t>
        </is>
      </c>
      <c r="R36" s="11" t="inlineStr">
        <is>
          <t>Web oficial</t>
        </is>
      </c>
      <c r="S36" s="11" t="inlineStr">
        <is>
          <t>Pendiente</t>
        </is>
      </c>
    </row>
    <row r="37">
      <c r="A37" s="11" t="inlineStr">
        <is>
          <t>P036</t>
        </is>
      </c>
      <c r="B37" s="14" t="inlineStr">
        <is>
          <t>B</t>
        </is>
      </c>
      <c r="C37" s="11" t="inlineStr">
        <is>
          <t>Costa</t>
        </is>
      </c>
      <c r="D37" s="11" t="inlineStr">
        <is>
          <t>Guayas</t>
        </is>
      </c>
      <c r="E37" s="11" t="inlineStr">
        <is>
          <t>Guayaquil</t>
        </is>
      </c>
      <c r="F37" s="11" t="inlineStr">
        <is>
          <t>Almacenes La Ganga</t>
        </is>
      </c>
      <c r="G37" s="11" t="inlineStr">
        <is>
          <t>Retail electrodomésticos</t>
        </is>
      </c>
      <c r="H37" s="11" t="inlineStr">
        <is>
          <t>Retail y supermercados</t>
        </is>
      </c>
      <c r="I37" s="11" t="inlineStr">
        <is>
          <t>Bodegas de electrodomésticos</t>
        </is>
      </c>
      <c r="J37" s="11" t="inlineStr">
        <is>
          <t>Rack selectivo para CD + perchas de picking</t>
        </is>
      </c>
      <c r="K37" s="13" t="inlineStr">
        <is>
          <t>https://www.almaceneslaganga.com</t>
        </is>
      </c>
      <c r="L37" s="11" t="inlineStr"/>
      <c r="M37" s="11" t="inlineStr"/>
      <c r="N37" s="11" t="inlineStr"/>
      <c r="O37" s="11" t="inlineStr"/>
      <c r="P37" s="13" t="inlineStr">
        <is>
          <t>Abrir</t>
        </is>
      </c>
      <c r="Q37" s="13" t="inlineStr">
        <is>
          <t>Abrir</t>
        </is>
      </c>
      <c r="R37" s="11" t="inlineStr">
        <is>
          <t>Web oficial</t>
        </is>
      </c>
      <c r="S37" s="11" t="inlineStr">
        <is>
          <t>Pendiente</t>
        </is>
      </c>
    </row>
    <row r="38">
      <c r="A38" s="11" t="inlineStr">
        <is>
          <t>P037</t>
        </is>
      </c>
      <c r="B38" s="14" t="inlineStr">
        <is>
          <t>B</t>
        </is>
      </c>
      <c r="C38" s="11" t="inlineStr">
        <is>
          <t>Costa</t>
        </is>
      </c>
      <c r="D38" s="11" t="inlineStr">
        <is>
          <t>Guayas</t>
        </is>
      </c>
      <c r="E38" s="11" t="inlineStr">
        <is>
          <t>Guayaquil</t>
        </is>
      </c>
      <c r="F38" s="11" t="inlineStr">
        <is>
          <t>Artefacta</t>
        </is>
      </c>
      <c r="G38" s="11" t="inlineStr">
        <is>
          <t>Retail electrodomésticos</t>
        </is>
      </c>
      <c r="H38" s="11" t="inlineStr">
        <is>
          <t>Retail y supermercados</t>
        </is>
      </c>
      <c r="I38" s="11" t="inlineStr">
        <is>
          <t>Bodegas de electrodomésticos</t>
        </is>
      </c>
      <c r="J38" s="11" t="inlineStr">
        <is>
          <t>Rack selectivo para CD + perchas de picking</t>
        </is>
      </c>
      <c r="K38" s="13" t="inlineStr">
        <is>
          <t>https://www.artefacta.com</t>
        </is>
      </c>
      <c r="L38" s="11" t="inlineStr"/>
      <c r="M38" s="11" t="inlineStr"/>
      <c r="N38" s="11" t="inlineStr"/>
      <c r="O38" s="11" t="inlineStr"/>
      <c r="P38" s="13" t="inlineStr">
        <is>
          <t>Abrir</t>
        </is>
      </c>
      <c r="Q38" s="13" t="inlineStr">
        <is>
          <t>Abrir</t>
        </is>
      </c>
      <c r="R38" s="11" t="inlineStr">
        <is>
          <t>Web oficial</t>
        </is>
      </c>
      <c r="S38" s="11" t="inlineStr">
        <is>
          <t>Pendiente</t>
        </is>
      </c>
    </row>
    <row r="39">
      <c r="A39" s="11" t="inlineStr">
        <is>
          <t>P038</t>
        </is>
      </c>
      <c r="B39" s="14" t="inlineStr">
        <is>
          <t>B</t>
        </is>
      </c>
      <c r="C39" s="11" t="inlineStr">
        <is>
          <t>Costa</t>
        </is>
      </c>
      <c r="D39" s="11" t="inlineStr">
        <is>
          <t>Guayas</t>
        </is>
      </c>
      <c r="E39" s="11" t="inlineStr">
        <is>
          <t>Guayaquil</t>
        </is>
      </c>
      <c r="F39" s="11" t="inlineStr">
        <is>
          <t>Cervecería Nacional</t>
        </is>
      </c>
      <c r="G39" s="11" t="inlineStr">
        <is>
          <t>Bebidas</t>
        </is>
      </c>
      <c r="H39" s="11" t="inlineStr">
        <is>
          <t>Alimentos, bebidas y consumo</t>
        </is>
      </c>
      <c r="I39" s="11" t="inlineStr">
        <is>
          <t>Bodegas de producto terminado y envases</t>
        </is>
      </c>
      <c r="J39" s="11" t="inlineStr">
        <is>
          <t>Rack selectivo para pallets</t>
        </is>
      </c>
      <c r="K39" s="13" t="inlineStr">
        <is>
          <t>https://www.cervecerianacional.ec</t>
        </is>
      </c>
      <c r="L39" s="11" t="inlineStr"/>
      <c r="M39" s="11" t="inlineStr"/>
      <c r="N39" s="11" t="inlineStr"/>
      <c r="O39" s="11" t="inlineStr"/>
      <c r="P39" s="13" t="inlineStr">
        <is>
          <t>Abrir</t>
        </is>
      </c>
      <c r="Q39" s="13" t="inlineStr">
        <is>
          <t>Abrir</t>
        </is>
      </c>
      <c r="R39" s="11" t="inlineStr">
        <is>
          <t>Web oficial</t>
        </is>
      </c>
      <c r="S39" s="11" t="inlineStr">
        <is>
          <t>Pendiente</t>
        </is>
      </c>
    </row>
    <row r="40">
      <c r="A40" s="11" t="inlineStr">
        <is>
          <t>P039</t>
        </is>
      </c>
      <c r="B40" s="14" t="inlineStr">
        <is>
          <t>B</t>
        </is>
      </c>
      <c r="C40" s="11" t="inlineStr">
        <is>
          <t>Costa</t>
        </is>
      </c>
      <c r="D40" s="11" t="inlineStr">
        <is>
          <t>Guayas</t>
        </is>
      </c>
      <c r="E40" s="11" t="inlineStr">
        <is>
          <t>Guayaquil</t>
        </is>
      </c>
      <c r="F40" s="11" t="inlineStr">
        <is>
          <t>Contecon Guayaquil</t>
        </is>
      </c>
      <c r="G40" s="11" t="inlineStr">
        <is>
          <t>Puerto / logística</t>
        </is>
      </c>
      <c r="H40" s="11" t="inlineStr">
        <is>
          <t>Logística y courier</t>
        </is>
      </c>
      <c r="I40" s="11" t="inlineStr">
        <is>
          <t>Bodegas y patios logísticos</t>
        </is>
      </c>
      <c r="J40" s="11" t="inlineStr">
        <is>
          <t>Rack selectivo + perchas + mezzanine (consultar)</t>
        </is>
      </c>
      <c r="K40" s="13" t="inlineStr">
        <is>
          <t>https://www.cgsa.com.ec</t>
        </is>
      </c>
      <c r="L40" s="11" t="inlineStr"/>
      <c r="M40" s="11" t="inlineStr"/>
      <c r="N40" s="11" t="inlineStr"/>
      <c r="O40" s="11" t="inlineStr"/>
      <c r="P40" s="13" t="inlineStr">
        <is>
          <t>Abrir</t>
        </is>
      </c>
      <c r="Q40" s="13" t="inlineStr">
        <is>
          <t>Abrir</t>
        </is>
      </c>
      <c r="R40" s="11" t="inlineStr">
        <is>
          <t>Web oficial</t>
        </is>
      </c>
      <c r="S40" s="11" t="inlineStr">
        <is>
          <t>Pendiente</t>
        </is>
      </c>
    </row>
    <row r="41">
      <c r="A41" s="11" t="inlineStr">
        <is>
          <t>P040</t>
        </is>
      </c>
      <c r="B41" s="14" t="inlineStr">
        <is>
          <t>B</t>
        </is>
      </c>
      <c r="C41" s="11" t="inlineStr">
        <is>
          <t>Costa</t>
        </is>
      </c>
      <c r="D41" s="11" t="inlineStr">
        <is>
          <t>Guayas</t>
        </is>
      </c>
      <c r="E41" s="11" t="inlineStr">
        <is>
          <t>Guayaquil</t>
        </is>
      </c>
      <c r="F41" s="11" t="inlineStr">
        <is>
          <t>Electrocables</t>
        </is>
      </c>
      <c r="G41" s="11" t="inlineStr">
        <is>
          <t>Manufactura cables</t>
        </is>
      </c>
      <c r="H41" s="11" t="inlineStr">
        <is>
          <t>Manufactura</t>
        </is>
      </c>
      <c r="I41" s="11" t="inlineStr">
        <is>
          <t>Bodegas de carretes y PT</t>
        </is>
      </c>
      <c r="J41" s="11" t="inlineStr">
        <is>
          <t>Rack selectivo para materia prima y PT</t>
        </is>
      </c>
      <c r="K41" s="13" t="inlineStr">
        <is>
          <t>https://www.electrocable.com</t>
        </is>
      </c>
      <c r="L41" s="11" t="inlineStr"/>
      <c r="M41" s="11" t="inlineStr"/>
      <c r="N41" s="11" t="inlineStr"/>
      <c r="O41" s="11" t="inlineStr"/>
      <c r="P41" s="13" t="inlineStr">
        <is>
          <t>Abrir</t>
        </is>
      </c>
      <c r="Q41" s="13" t="inlineStr">
        <is>
          <t>Abrir</t>
        </is>
      </c>
      <c r="R41" s="11" t="inlineStr">
        <is>
          <t>Web oficial</t>
        </is>
      </c>
      <c r="S41" s="11" t="inlineStr">
        <is>
          <t>Pendiente</t>
        </is>
      </c>
    </row>
    <row r="42">
      <c r="A42" s="11" t="inlineStr">
        <is>
          <t>P041</t>
        </is>
      </c>
      <c r="B42" s="14" t="inlineStr">
        <is>
          <t>B</t>
        </is>
      </c>
      <c r="C42" s="11" t="inlineStr">
        <is>
          <t>Costa</t>
        </is>
      </c>
      <c r="D42" s="11" t="inlineStr">
        <is>
          <t>Guayas</t>
        </is>
      </c>
      <c r="E42" s="11" t="inlineStr">
        <is>
          <t>Guayaquil</t>
        </is>
      </c>
      <c r="F42" s="11" t="inlineStr">
        <is>
          <t>Expalsa</t>
        </is>
      </c>
      <c r="G42" s="11" t="inlineStr">
        <is>
          <t>Camaronera / exportadora</t>
        </is>
      </c>
      <c r="H42" s="11" t="inlineStr">
        <is>
          <t>Agroindustria y acuacultura</t>
        </is>
      </c>
      <c r="I42" s="11" t="inlineStr">
        <is>
          <t>Bodegas de insumos y empaque</t>
        </is>
      </c>
      <c r="J42" s="11" t="inlineStr">
        <is>
          <t>Rack selectivo para insumos y empaque</t>
        </is>
      </c>
      <c r="K42" s="13" t="inlineStr">
        <is>
          <t>https://www.expalsa.com</t>
        </is>
      </c>
      <c r="L42" s="11" t="inlineStr"/>
      <c r="M42" s="11" t="inlineStr"/>
      <c r="N42" s="11" t="inlineStr"/>
      <c r="O42" s="11" t="inlineStr"/>
      <c r="P42" s="13" t="inlineStr">
        <is>
          <t>Abrir</t>
        </is>
      </c>
      <c r="Q42" s="13" t="inlineStr">
        <is>
          <t>Abrir</t>
        </is>
      </c>
      <c r="R42" s="11" t="inlineStr">
        <is>
          <t>Web oficial</t>
        </is>
      </c>
      <c r="S42" s="11" t="inlineStr">
        <is>
          <t>Pendiente</t>
        </is>
      </c>
    </row>
    <row r="43">
      <c r="A43" s="11" t="inlineStr">
        <is>
          <t>P042</t>
        </is>
      </c>
      <c r="B43" s="14" t="inlineStr">
        <is>
          <t>B</t>
        </is>
      </c>
      <c r="C43" s="11" t="inlineStr">
        <is>
          <t>Costa</t>
        </is>
      </c>
      <c r="D43" s="11" t="inlineStr">
        <is>
          <t>Guayas</t>
        </is>
      </c>
      <c r="E43" s="11" t="inlineStr">
        <is>
          <t>Guayaquil</t>
        </is>
      </c>
      <c r="F43" s="11" t="inlineStr">
        <is>
          <t>Holcim Ecuador / Disensa</t>
        </is>
      </c>
      <c r="G43" s="11" t="inlineStr">
        <is>
          <t>Materiales de construcción</t>
        </is>
      </c>
      <c r="H43" s="11" t="inlineStr">
        <is>
          <t>Ferretería, acero y construcción</t>
        </is>
      </c>
      <c r="I43" s="11" t="inlineStr">
        <is>
          <t>Red de ferreterías Disensa (bodegas)</t>
        </is>
      </c>
      <c r="J43" s="11" t="inlineStr">
        <is>
          <t>Rack selectivo + rack para perfiles largos (consultar)</t>
        </is>
      </c>
      <c r="K43" s="13" t="inlineStr">
        <is>
          <t>https://www.disensa.com.ec</t>
        </is>
      </c>
      <c r="L43" s="11" t="inlineStr"/>
      <c r="M43" s="11" t="inlineStr"/>
      <c r="N43" s="11" t="inlineStr"/>
      <c r="O43" s="11" t="inlineStr"/>
      <c r="P43" s="13" t="inlineStr">
        <is>
          <t>Abrir</t>
        </is>
      </c>
      <c r="Q43" s="13" t="inlineStr">
        <is>
          <t>Abrir</t>
        </is>
      </c>
      <c r="R43" s="11" t="inlineStr">
        <is>
          <t>Web oficial</t>
        </is>
      </c>
      <c r="S43" s="11" t="inlineStr">
        <is>
          <t>Pendiente</t>
        </is>
      </c>
    </row>
    <row r="44">
      <c r="A44" s="11" t="inlineStr">
        <is>
          <t>P043</t>
        </is>
      </c>
      <c r="B44" s="14" t="inlineStr">
        <is>
          <t>B</t>
        </is>
      </c>
      <c r="C44" s="11" t="inlineStr">
        <is>
          <t>Costa</t>
        </is>
      </c>
      <c r="D44" s="11" t="inlineStr">
        <is>
          <t>Guayas</t>
        </is>
      </c>
      <c r="E44" s="11" t="inlineStr">
        <is>
          <t>Guayaquil</t>
        </is>
      </c>
      <c r="F44" s="11" t="inlineStr">
        <is>
          <t>Ipac</t>
        </is>
      </c>
      <c r="G44" s="11" t="inlineStr">
        <is>
          <t>Acero / perfiles</t>
        </is>
      </c>
      <c r="H44" s="11" t="inlineStr">
        <is>
          <t>Ferretería, acero y construcción</t>
        </is>
      </c>
      <c r="I44" s="11" t="inlineStr">
        <is>
          <t>Almacenaje de perfiles (cantilever)</t>
        </is>
      </c>
      <c r="J44" s="11" t="inlineStr">
        <is>
          <t>Rack selectivo + rack para perfiles largos (consultar)</t>
        </is>
      </c>
      <c r="K44" s="13" t="inlineStr">
        <is>
          <t>https://www.ipac-acero.com</t>
        </is>
      </c>
      <c r="L44" s="11" t="inlineStr"/>
      <c r="M44" s="11" t="inlineStr"/>
      <c r="N44" s="11" t="inlineStr"/>
      <c r="O44" s="11" t="inlineStr"/>
      <c r="P44" s="13" t="inlineStr">
        <is>
          <t>Abrir</t>
        </is>
      </c>
      <c r="Q44" s="13" t="inlineStr">
        <is>
          <t>Abrir</t>
        </is>
      </c>
      <c r="R44" s="11" t="inlineStr">
        <is>
          <t>Web oficial</t>
        </is>
      </c>
      <c r="S44" s="11" t="inlineStr">
        <is>
          <t>Pendiente</t>
        </is>
      </c>
    </row>
    <row r="45">
      <c r="A45" s="11" t="inlineStr">
        <is>
          <t>P044</t>
        </is>
      </c>
      <c r="B45" s="14" t="inlineStr">
        <is>
          <t>B</t>
        </is>
      </c>
      <c r="C45" s="11" t="inlineStr">
        <is>
          <t>Costa</t>
        </is>
      </c>
      <c r="D45" s="11" t="inlineStr">
        <is>
          <t>Guayas</t>
        </is>
      </c>
      <c r="E45" s="11" t="inlineStr">
        <is>
          <t>Guayaquil</t>
        </is>
      </c>
      <c r="F45" s="11" t="inlineStr">
        <is>
          <t>Megahierro</t>
        </is>
      </c>
      <c r="G45" s="11" t="inlineStr">
        <is>
          <t>Ferretería / acero</t>
        </is>
      </c>
      <c r="H45" s="11" t="inlineStr">
        <is>
          <t>Ferretería, acero y construcción</t>
        </is>
      </c>
      <c r="I45" s="11" t="inlineStr">
        <is>
          <t>Bodegas de materiales</t>
        </is>
      </c>
      <c r="J45" s="11" t="inlineStr">
        <is>
          <t>Rack selectivo + rack para perfiles largos (consultar)</t>
        </is>
      </c>
      <c r="K45" s="13" t="inlineStr">
        <is>
          <t>https://www.megahierro.com</t>
        </is>
      </c>
      <c r="L45" s="11" t="inlineStr"/>
      <c r="M45" s="11" t="inlineStr"/>
      <c r="N45" s="11" t="inlineStr"/>
      <c r="O45" s="11" t="inlineStr"/>
      <c r="P45" s="13" t="inlineStr">
        <is>
          <t>Abrir</t>
        </is>
      </c>
      <c r="Q45" s="13" t="inlineStr">
        <is>
          <t>Abrir</t>
        </is>
      </c>
      <c r="R45" s="11" t="inlineStr">
        <is>
          <t>Web oficial</t>
        </is>
      </c>
      <c r="S45" s="11" t="inlineStr">
        <is>
          <t>Pendiente</t>
        </is>
      </c>
    </row>
    <row r="46">
      <c r="A46" s="11" t="inlineStr">
        <is>
          <t>P045</t>
        </is>
      </c>
      <c r="B46" s="14" t="inlineStr">
        <is>
          <t>B</t>
        </is>
      </c>
      <c r="C46" s="11" t="inlineStr">
        <is>
          <t>Costa</t>
        </is>
      </c>
      <c r="D46" s="11" t="inlineStr">
        <is>
          <t>Guayas</t>
        </is>
      </c>
      <c r="E46" s="11" t="inlineStr">
        <is>
          <t>Posorja</t>
        </is>
      </c>
      <c r="F46" s="11" t="inlineStr">
        <is>
          <t>Nirsa</t>
        </is>
      </c>
      <c r="G46" s="11" t="inlineStr">
        <is>
          <t>Pesquera / conservas</t>
        </is>
      </c>
      <c r="H46" s="11" t="inlineStr">
        <is>
          <t>Agroindustria y acuacultura</t>
        </is>
      </c>
      <c r="I46" s="11" t="inlineStr">
        <is>
          <t>Almacén de materia prima, latas y producto</t>
        </is>
      </c>
      <c r="J46" s="11" t="inlineStr">
        <is>
          <t>Rack selectivo para insumos y empaque</t>
        </is>
      </c>
      <c r="K46" s="13" t="inlineStr">
        <is>
          <t>https://www.nirsa.com</t>
        </is>
      </c>
      <c r="L46" s="11" t="inlineStr"/>
      <c r="M46" s="11" t="inlineStr"/>
      <c r="N46" s="11" t="inlineStr"/>
      <c r="O46" s="11" t="inlineStr"/>
      <c r="P46" s="13" t="inlineStr">
        <is>
          <t>Abrir</t>
        </is>
      </c>
      <c r="Q46" s="13" t="inlineStr">
        <is>
          <t>Abrir</t>
        </is>
      </c>
      <c r="R46" s="11" t="inlineStr">
        <is>
          <t>Web oficial</t>
        </is>
      </c>
      <c r="S46" s="11" t="inlineStr">
        <is>
          <t>Pendiente</t>
        </is>
      </c>
    </row>
    <row r="47">
      <c r="A47" s="11" t="inlineStr">
        <is>
          <t>P046</t>
        </is>
      </c>
      <c r="B47" s="14" t="inlineStr">
        <is>
          <t>B</t>
        </is>
      </c>
      <c r="C47" s="11" t="inlineStr">
        <is>
          <t>Costa</t>
        </is>
      </c>
      <c r="D47" s="11" t="inlineStr">
        <is>
          <t>Guayas</t>
        </is>
      </c>
      <c r="E47" s="11" t="inlineStr">
        <is>
          <t>Durán</t>
        </is>
      </c>
      <c r="F47" s="11" t="inlineStr">
        <is>
          <t>Omarsa</t>
        </is>
      </c>
      <c r="G47" s="11" t="inlineStr">
        <is>
          <t>Camaronera / exportadora</t>
        </is>
      </c>
      <c r="H47" s="11" t="inlineStr">
        <is>
          <t>Agroindustria y acuacultura</t>
        </is>
      </c>
      <c r="I47" s="11" t="inlineStr">
        <is>
          <t>Bodegas de empaque y producto</t>
        </is>
      </c>
      <c r="J47" s="11" t="inlineStr">
        <is>
          <t>Rack selectivo para insumos y empaque</t>
        </is>
      </c>
      <c r="K47" s="13" t="inlineStr">
        <is>
          <t>https://www.omarsa.com.ec</t>
        </is>
      </c>
      <c r="L47" s="11" t="inlineStr"/>
      <c r="M47" s="11" t="inlineStr"/>
      <c r="N47" s="11" t="inlineStr"/>
      <c r="O47" s="11" t="inlineStr"/>
      <c r="P47" s="13" t="inlineStr">
        <is>
          <t>Abrir</t>
        </is>
      </c>
      <c r="Q47" s="13" t="inlineStr">
        <is>
          <t>Abrir</t>
        </is>
      </c>
      <c r="R47" s="11" t="inlineStr">
        <is>
          <t>Web oficial</t>
        </is>
      </c>
      <c r="S47" s="11" t="inlineStr">
        <is>
          <t>Pendiente</t>
        </is>
      </c>
    </row>
    <row r="48">
      <c r="A48" s="11" t="inlineStr">
        <is>
          <t>P047</t>
        </is>
      </c>
      <c r="B48" s="14" t="inlineStr">
        <is>
          <t>B</t>
        </is>
      </c>
      <c r="C48" s="11" t="inlineStr">
        <is>
          <t>Costa</t>
        </is>
      </c>
      <c r="D48" s="11" t="inlineStr">
        <is>
          <t>Guayas</t>
        </is>
      </c>
      <c r="E48" s="11" t="inlineStr">
        <is>
          <t>Guayaquil</t>
        </is>
      </c>
      <c r="F48" s="11" t="inlineStr">
        <is>
          <t>Pinturas Unidas</t>
        </is>
      </c>
      <c r="G48" s="11" t="inlineStr">
        <is>
          <t>Manufactura pinturas</t>
        </is>
      </c>
      <c r="H48" s="11" t="inlineStr">
        <is>
          <t>Manufactura</t>
        </is>
      </c>
      <c r="I48" s="11" t="inlineStr">
        <is>
          <t>Bodegas de PT y materia prima</t>
        </is>
      </c>
      <c r="J48" s="11" t="inlineStr">
        <is>
          <t>Rack selectivo para materia prima y PT</t>
        </is>
      </c>
      <c r="K48" s="13" t="inlineStr">
        <is>
          <t>https://www.pinturasunidas.com</t>
        </is>
      </c>
      <c r="L48" s="11" t="inlineStr"/>
      <c r="M48" s="11" t="inlineStr"/>
      <c r="N48" s="11" t="inlineStr"/>
      <c r="O48" s="11" t="inlineStr"/>
      <c r="P48" s="13" t="inlineStr">
        <is>
          <t>Abrir</t>
        </is>
      </c>
      <c r="Q48" s="13" t="inlineStr">
        <is>
          <t>Abrir</t>
        </is>
      </c>
      <c r="R48" s="11" t="inlineStr">
        <is>
          <t>Web oficial</t>
        </is>
      </c>
      <c r="S48" s="11" t="inlineStr">
        <is>
          <t>Pendiente</t>
        </is>
      </c>
    </row>
    <row r="49">
      <c r="A49" s="11" t="inlineStr">
        <is>
          <t>P048</t>
        </is>
      </c>
      <c r="B49" s="14" t="inlineStr">
        <is>
          <t>B</t>
        </is>
      </c>
      <c r="C49" s="11" t="inlineStr">
        <is>
          <t>Costa</t>
        </is>
      </c>
      <c r="D49" s="11" t="inlineStr">
        <is>
          <t>Guayas</t>
        </is>
      </c>
      <c r="E49" s="11" t="inlineStr">
        <is>
          <t>Guayaquil</t>
        </is>
      </c>
      <c r="F49" s="11" t="inlineStr">
        <is>
          <t>Plásticos Industriales (Pica)</t>
        </is>
      </c>
      <c r="G49" s="11" t="inlineStr">
        <is>
          <t>Manufactura plásticos</t>
        </is>
      </c>
      <c r="H49" s="11" t="inlineStr">
        <is>
          <t>Manufactura</t>
        </is>
      </c>
      <c r="I49" s="11" t="inlineStr">
        <is>
          <t>Bodegas de producto terminado</t>
        </is>
      </c>
      <c r="J49" s="11" t="inlineStr">
        <is>
          <t>Rack selectivo para materia prima y PT</t>
        </is>
      </c>
      <c r="K49" s="13" t="inlineStr">
        <is>
          <t>https://www.pica.com.ec</t>
        </is>
      </c>
      <c r="L49" s="11" t="inlineStr"/>
      <c r="M49" s="11" t="inlineStr"/>
      <c r="N49" s="11" t="inlineStr"/>
      <c r="O49" s="11" t="inlineStr"/>
      <c r="P49" s="13" t="inlineStr">
        <is>
          <t>Abrir</t>
        </is>
      </c>
      <c r="Q49" s="13" t="inlineStr">
        <is>
          <t>Abrir</t>
        </is>
      </c>
      <c r="R49" s="11" t="inlineStr">
        <is>
          <t>Web oficial</t>
        </is>
      </c>
      <c r="S49" s="11" t="inlineStr">
        <is>
          <t>Pendiente</t>
        </is>
      </c>
    </row>
    <row r="50">
      <c r="A50" s="11" t="inlineStr">
        <is>
          <t>P049</t>
        </is>
      </c>
      <c r="B50" s="14" t="inlineStr">
        <is>
          <t>B</t>
        </is>
      </c>
      <c r="C50" s="11" t="inlineStr">
        <is>
          <t>Costa</t>
        </is>
      </c>
      <c r="D50" s="11" t="inlineStr">
        <is>
          <t>Guayas</t>
        </is>
      </c>
      <c r="E50" s="11" t="inlineStr">
        <is>
          <t>Guayaquil</t>
        </is>
      </c>
      <c r="F50" s="11" t="inlineStr">
        <is>
          <t>Reybanpac</t>
        </is>
      </c>
      <c r="G50" s="11" t="inlineStr">
        <is>
          <t>Bananera / agroindustria</t>
        </is>
      </c>
      <c r="H50" s="11" t="inlineStr">
        <is>
          <t>Agroindustria y acuacultura</t>
        </is>
      </c>
      <c r="I50" s="11" t="inlineStr">
        <is>
          <t>Bodegas de cartón e insumos</t>
        </is>
      </c>
      <c r="J50" s="11" t="inlineStr">
        <is>
          <t>Rack selectivo para insumos y empaque</t>
        </is>
      </c>
      <c r="K50" s="13" t="inlineStr">
        <is>
          <t>https://www.reybanpac.com</t>
        </is>
      </c>
      <c r="L50" s="11" t="inlineStr"/>
      <c r="M50" s="11" t="inlineStr"/>
      <c r="N50" s="11" t="inlineStr"/>
      <c r="O50" s="11" t="inlineStr"/>
      <c r="P50" s="13" t="inlineStr">
        <is>
          <t>Abrir</t>
        </is>
      </c>
      <c r="Q50" s="13" t="inlineStr">
        <is>
          <t>Abrir</t>
        </is>
      </c>
      <c r="R50" s="11" t="inlineStr">
        <is>
          <t>Web oficial</t>
        </is>
      </c>
      <c r="S50" s="11" t="inlineStr">
        <is>
          <t>Pendiente</t>
        </is>
      </c>
    </row>
    <row r="51">
      <c r="A51" s="11" t="inlineStr">
        <is>
          <t>P050</t>
        </is>
      </c>
      <c r="B51" s="14" t="inlineStr">
        <is>
          <t>B</t>
        </is>
      </c>
      <c r="C51" s="11" t="inlineStr">
        <is>
          <t>Costa</t>
        </is>
      </c>
      <c r="D51" s="11" t="inlineStr">
        <is>
          <t>Guayas</t>
        </is>
      </c>
      <c r="E51" s="11" t="inlineStr">
        <is>
          <t>Guayaquil</t>
        </is>
      </c>
      <c r="F51" s="11" t="inlineStr">
        <is>
          <t>Sumesa</t>
        </is>
      </c>
      <c r="G51" s="11" t="inlineStr">
        <is>
          <t>Alimentos</t>
        </is>
      </c>
      <c r="H51" s="11" t="inlineStr">
        <is>
          <t>Alimentos, bebidas y consumo</t>
        </is>
      </c>
      <c r="I51" s="11" t="inlineStr">
        <is>
          <t>Bodegas de materia prima y PT</t>
        </is>
      </c>
      <c r="J51" s="11" t="inlineStr">
        <is>
          <t>Rack selectivo para pallets</t>
        </is>
      </c>
      <c r="K51" s="13" t="inlineStr">
        <is>
          <t>https://www.sumesa.com.ec</t>
        </is>
      </c>
      <c r="L51" s="11" t="inlineStr"/>
      <c r="M51" s="11" t="inlineStr"/>
      <c r="N51" s="11" t="inlineStr"/>
      <c r="O51" s="11" t="inlineStr"/>
      <c r="P51" s="13" t="inlineStr">
        <is>
          <t>Abrir</t>
        </is>
      </c>
      <c r="Q51" s="13" t="inlineStr">
        <is>
          <t>Abrir</t>
        </is>
      </c>
      <c r="R51" s="11" t="inlineStr">
        <is>
          <t>Web oficial</t>
        </is>
      </c>
      <c r="S51" s="11" t="inlineStr">
        <is>
          <t>Pendiente</t>
        </is>
      </c>
    </row>
    <row r="52">
      <c r="A52" s="11" t="inlineStr">
        <is>
          <t>P051</t>
        </is>
      </c>
      <c r="B52" s="14" t="inlineStr">
        <is>
          <t>B</t>
        </is>
      </c>
      <c r="C52" s="11" t="inlineStr">
        <is>
          <t>Costa</t>
        </is>
      </c>
      <c r="D52" s="11" t="inlineStr">
        <is>
          <t>Los Ríos</t>
        </is>
      </c>
      <c r="E52" s="11" t="inlineStr">
        <is>
          <t>Quevedo</t>
        </is>
      </c>
      <c r="F52" s="11" t="inlineStr">
        <is>
          <t>Extractora Quevepalma</t>
        </is>
      </c>
      <c r="G52" s="11" t="inlineStr">
        <is>
          <t>Palma aceitera</t>
        </is>
      </c>
      <c r="H52" s="11" t="inlineStr">
        <is>
          <t>Agroindustria y acuacultura</t>
        </is>
      </c>
      <c r="I52" s="11" t="inlineStr">
        <is>
          <t>Bodegas de insumos y repuestos</t>
        </is>
      </c>
      <c r="J52" s="11" t="inlineStr">
        <is>
          <t>Rack selectivo para insumos y empaque</t>
        </is>
      </c>
      <c r="K52" s="11" t="inlineStr"/>
      <c r="L52" s="11" t="inlineStr"/>
      <c r="M52" s="11" t="inlineStr"/>
      <c r="N52" s="11" t="inlineStr"/>
      <c r="O52" s="11" t="inlineStr"/>
      <c r="P52" s="13" t="inlineStr">
        <is>
          <t>Abrir</t>
        </is>
      </c>
      <c r="Q52" s="13" t="inlineStr">
        <is>
          <t>Abrir</t>
        </is>
      </c>
      <c r="R52" s="11" t="inlineStr">
        <is>
          <t>Primicias: mayor venta de Los Ríos</t>
        </is>
      </c>
      <c r="S52" s="11" t="inlineStr">
        <is>
          <t>Pendiente</t>
        </is>
      </c>
    </row>
    <row r="53">
      <c r="A53" s="11" t="inlineStr">
        <is>
          <t>P052</t>
        </is>
      </c>
      <c r="B53" s="14" t="inlineStr">
        <is>
          <t>B</t>
        </is>
      </c>
      <c r="C53" s="11" t="inlineStr">
        <is>
          <t>Costa</t>
        </is>
      </c>
      <c r="D53" s="11" t="inlineStr">
        <is>
          <t>Manabí</t>
        </is>
      </c>
      <c r="E53" s="11" t="inlineStr">
        <is>
          <t>Manta</t>
        </is>
      </c>
      <c r="F53" s="11" t="inlineStr">
        <is>
          <t>Asiservy</t>
        </is>
      </c>
      <c r="G53" s="11" t="inlineStr">
        <is>
          <t>Pesquera / conservas</t>
        </is>
      </c>
      <c r="H53" s="11" t="inlineStr">
        <is>
          <t>Agroindustria y acuacultura</t>
        </is>
      </c>
      <c r="I53" s="11" t="inlineStr">
        <is>
          <t>Bodegas de PT</t>
        </is>
      </c>
      <c r="J53" s="11" t="inlineStr">
        <is>
          <t>Rack selectivo para insumos y empaque</t>
        </is>
      </c>
      <c r="K53" s="13" t="inlineStr">
        <is>
          <t>https://www.asiservy.com</t>
        </is>
      </c>
      <c r="L53" s="11" t="inlineStr"/>
      <c r="M53" s="11" t="inlineStr"/>
      <c r="N53" s="11" t="inlineStr"/>
      <c r="O53" s="11" t="inlineStr"/>
      <c r="P53" s="13" t="inlineStr">
        <is>
          <t>Abrir</t>
        </is>
      </c>
      <c r="Q53" s="13" t="inlineStr">
        <is>
          <t>Abrir</t>
        </is>
      </c>
      <c r="R53" s="11" t="inlineStr">
        <is>
          <t>El Diario: top 25 Manabí</t>
        </is>
      </c>
      <c r="S53" s="11" t="inlineStr">
        <is>
          <t>Pendiente</t>
        </is>
      </c>
    </row>
    <row r="54">
      <c r="A54" s="11" t="inlineStr">
        <is>
          <t>P053</t>
        </is>
      </c>
      <c r="B54" s="14" t="inlineStr">
        <is>
          <t>B</t>
        </is>
      </c>
      <c r="C54" s="11" t="inlineStr">
        <is>
          <t>Costa</t>
        </is>
      </c>
      <c r="D54" s="11" t="inlineStr">
        <is>
          <t>Manabí</t>
        </is>
      </c>
      <c r="E54" s="11" t="inlineStr">
        <is>
          <t>Manta</t>
        </is>
      </c>
      <c r="F54" s="11" t="inlineStr">
        <is>
          <t>Conservas Isabel Ecuatoriana</t>
        </is>
      </c>
      <c r="G54" s="11" t="inlineStr">
        <is>
          <t>Pesquera / conservas</t>
        </is>
      </c>
      <c r="H54" s="11" t="inlineStr">
        <is>
          <t>Agroindustria y acuacultura</t>
        </is>
      </c>
      <c r="I54" s="11" t="inlineStr">
        <is>
          <t>Bodegas de latas y PT</t>
        </is>
      </c>
      <c r="J54" s="11" t="inlineStr">
        <is>
          <t>Rack selectivo para insumos y empaque</t>
        </is>
      </c>
      <c r="K54" s="13" t="inlineStr">
        <is>
          <t>https://www.conservasisabel.com.ec</t>
        </is>
      </c>
      <c r="L54" s="11" t="inlineStr"/>
      <c r="M54" s="11" t="inlineStr"/>
      <c r="N54" s="11" t="inlineStr"/>
      <c r="O54" s="11" t="inlineStr"/>
      <c r="P54" s="13" t="inlineStr">
        <is>
          <t>Abrir</t>
        </is>
      </c>
      <c r="Q54" s="13" t="inlineStr">
        <is>
          <t>Abrir</t>
        </is>
      </c>
      <c r="R54" s="11" t="inlineStr">
        <is>
          <t>El Diario: top 25 Manabí</t>
        </is>
      </c>
      <c r="S54" s="11" t="inlineStr">
        <is>
          <t>Pendiente</t>
        </is>
      </c>
    </row>
    <row r="55">
      <c r="A55" s="11" t="inlineStr">
        <is>
          <t>P054</t>
        </is>
      </c>
      <c r="B55" s="14" t="inlineStr">
        <is>
          <t>B</t>
        </is>
      </c>
      <c r="C55" s="11" t="inlineStr">
        <is>
          <t>Costa</t>
        </is>
      </c>
      <c r="D55" s="11" t="inlineStr">
        <is>
          <t>Manabí</t>
        </is>
      </c>
      <c r="E55" s="11" t="inlineStr">
        <is>
          <t>Manta</t>
        </is>
      </c>
      <c r="F55" s="11" t="inlineStr">
        <is>
          <t>Eurofish</t>
        </is>
      </c>
      <c r="G55" s="11" t="inlineStr">
        <is>
          <t>Pesquera / conservas</t>
        </is>
      </c>
      <c r="H55" s="11" t="inlineStr">
        <is>
          <t>Agroindustria y acuacultura</t>
        </is>
      </c>
      <c r="I55" s="11" t="inlineStr">
        <is>
          <t>Bodegas de PT</t>
        </is>
      </c>
      <c r="J55" s="11" t="inlineStr">
        <is>
          <t>Rack selectivo para insumos y empaque</t>
        </is>
      </c>
      <c r="K55" s="13" t="inlineStr">
        <is>
          <t>https://www.eurofish.com.ec</t>
        </is>
      </c>
      <c r="L55" s="11" t="inlineStr"/>
      <c r="M55" s="11" t="inlineStr"/>
      <c r="N55" s="11" t="inlineStr"/>
      <c r="O55" s="11" t="inlineStr"/>
      <c r="P55" s="13" t="inlineStr">
        <is>
          <t>Abrir</t>
        </is>
      </c>
      <c r="Q55" s="13" t="inlineStr">
        <is>
          <t>Abrir</t>
        </is>
      </c>
      <c r="R55" s="11" t="inlineStr">
        <is>
          <t>Web oficial</t>
        </is>
      </c>
      <c r="S55" s="11" t="inlineStr">
        <is>
          <t>Pendiente</t>
        </is>
      </c>
    </row>
    <row r="56">
      <c r="A56" s="11" t="inlineStr">
        <is>
          <t>P055</t>
        </is>
      </c>
      <c r="B56" s="14" t="inlineStr">
        <is>
          <t>B</t>
        </is>
      </c>
      <c r="C56" s="11" t="inlineStr">
        <is>
          <t>Costa</t>
        </is>
      </c>
      <c r="D56" s="11" t="inlineStr">
        <is>
          <t>Manabí</t>
        </is>
      </c>
      <c r="E56" s="11" t="inlineStr">
        <is>
          <t>Manta</t>
        </is>
      </c>
      <c r="F56" s="11" t="inlineStr">
        <is>
          <t>Industrias Ales</t>
        </is>
      </c>
      <c r="G56" s="11" t="inlineStr">
        <is>
          <t>Consumo masivo</t>
        </is>
      </c>
      <c r="H56" s="11" t="inlineStr">
        <is>
          <t>Alimentos, bebidas y consumo</t>
        </is>
      </c>
      <c r="I56" s="11" t="inlineStr">
        <is>
          <t>Bodegas de PT</t>
        </is>
      </c>
      <c r="J56" s="11" t="inlineStr">
        <is>
          <t>Rack selectivo para pallets</t>
        </is>
      </c>
      <c r="K56" s="13" t="inlineStr">
        <is>
          <t>https://www.ales.com.ec</t>
        </is>
      </c>
      <c r="L56" s="11" t="inlineStr"/>
      <c r="M56" s="11" t="inlineStr"/>
      <c r="N56" s="11" t="inlineStr"/>
      <c r="O56" s="11" t="inlineStr"/>
      <c r="P56" s="13" t="inlineStr">
        <is>
          <t>Abrir</t>
        </is>
      </c>
      <c r="Q56" s="13" t="inlineStr">
        <is>
          <t>Abrir</t>
        </is>
      </c>
      <c r="R56" s="11" t="inlineStr">
        <is>
          <t>Web oficial</t>
        </is>
      </c>
      <c r="S56" s="11" t="inlineStr">
        <is>
          <t>Pendiente</t>
        </is>
      </c>
    </row>
    <row r="57">
      <c r="A57" s="11" t="inlineStr">
        <is>
          <t>P056</t>
        </is>
      </c>
      <c r="B57" s="14" t="inlineStr">
        <is>
          <t>B</t>
        </is>
      </c>
      <c r="C57" s="11" t="inlineStr">
        <is>
          <t>Costa</t>
        </is>
      </c>
      <c r="D57" s="11" t="inlineStr">
        <is>
          <t>Manabí</t>
        </is>
      </c>
      <c r="E57" s="11" t="inlineStr">
        <is>
          <t>Manta</t>
        </is>
      </c>
      <c r="F57" s="11" t="inlineStr">
        <is>
          <t>Marbelize</t>
        </is>
      </c>
      <c r="G57" s="11" t="inlineStr">
        <is>
          <t>Pesquera / conservas</t>
        </is>
      </c>
      <c r="H57" s="11" t="inlineStr">
        <is>
          <t>Agroindustria y acuacultura</t>
        </is>
      </c>
      <c r="I57" s="11" t="inlineStr">
        <is>
          <t>Bodegas de PT</t>
        </is>
      </c>
      <c r="J57" s="11" t="inlineStr">
        <is>
          <t>Rack selectivo para insumos y empaque</t>
        </is>
      </c>
      <c r="K57" s="13" t="inlineStr">
        <is>
          <t>https://www.marbelize.com</t>
        </is>
      </c>
      <c r="L57" s="11" t="inlineStr"/>
      <c r="M57" s="11" t="inlineStr"/>
      <c r="N57" s="11" t="inlineStr"/>
      <c r="O57" s="11" t="inlineStr"/>
      <c r="P57" s="13" t="inlineStr">
        <is>
          <t>Abrir</t>
        </is>
      </c>
      <c r="Q57" s="13" t="inlineStr">
        <is>
          <t>Abrir</t>
        </is>
      </c>
      <c r="R57" s="11" t="inlineStr">
        <is>
          <t>El Diario: top 25 Manabí</t>
        </is>
      </c>
      <c r="S57" s="11" t="inlineStr">
        <is>
          <t>Pendiente</t>
        </is>
      </c>
    </row>
    <row r="58">
      <c r="A58" s="11" t="inlineStr">
        <is>
          <t>P057</t>
        </is>
      </c>
      <c r="B58" s="14" t="inlineStr">
        <is>
          <t>B</t>
        </is>
      </c>
      <c r="C58" s="11" t="inlineStr">
        <is>
          <t>Costa</t>
        </is>
      </c>
      <c r="D58" s="11" t="inlineStr">
        <is>
          <t>Manabí</t>
        </is>
      </c>
      <c r="E58" s="11" t="inlineStr">
        <is>
          <t>Manta</t>
        </is>
      </c>
      <c r="F58" s="11" t="inlineStr">
        <is>
          <t>Seafman</t>
        </is>
      </c>
      <c r="G58" s="11" t="inlineStr">
        <is>
          <t>Pesquera / conservas</t>
        </is>
      </c>
      <c r="H58" s="11" t="inlineStr">
        <is>
          <t>Agroindustria y acuacultura</t>
        </is>
      </c>
      <c r="I58" s="11" t="inlineStr">
        <is>
          <t>Bodegas de PT</t>
        </is>
      </c>
      <c r="J58" s="11" t="inlineStr">
        <is>
          <t>Rack selectivo para insumos y empaque</t>
        </is>
      </c>
      <c r="K58" s="13" t="inlineStr">
        <is>
          <t>https://www.seafman.com</t>
        </is>
      </c>
      <c r="L58" s="11" t="inlineStr"/>
      <c r="M58" s="11" t="inlineStr"/>
      <c r="N58" s="11" t="inlineStr"/>
      <c r="O58" s="11" t="inlineStr"/>
      <c r="P58" s="13" t="inlineStr">
        <is>
          <t>Abrir</t>
        </is>
      </c>
      <c r="Q58" s="13" t="inlineStr">
        <is>
          <t>Abrir</t>
        </is>
      </c>
      <c r="R58" s="11" t="inlineStr">
        <is>
          <t>El Diario: top 25 Manabí</t>
        </is>
      </c>
      <c r="S58" s="11" t="inlineStr">
        <is>
          <t>Pendiente</t>
        </is>
      </c>
    </row>
    <row r="59">
      <c r="A59" s="11" t="inlineStr">
        <is>
          <t>P058</t>
        </is>
      </c>
      <c r="B59" s="14" t="inlineStr">
        <is>
          <t>B</t>
        </is>
      </c>
      <c r="C59" s="11" t="inlineStr">
        <is>
          <t>Costa</t>
        </is>
      </c>
      <c r="D59" s="11" t="inlineStr">
        <is>
          <t>Manabí</t>
        </is>
      </c>
      <c r="E59" s="11" t="inlineStr">
        <is>
          <t>Manta</t>
        </is>
      </c>
      <c r="F59" s="11" t="inlineStr">
        <is>
          <t>Tecopesca</t>
        </is>
      </c>
      <c r="G59" s="11" t="inlineStr">
        <is>
          <t>Pesquera / conservas</t>
        </is>
      </c>
      <c r="H59" s="11" t="inlineStr">
        <is>
          <t>Agroindustria y acuacultura</t>
        </is>
      </c>
      <c r="I59" s="11" t="inlineStr">
        <is>
          <t>Bodegas de PT</t>
        </is>
      </c>
      <c r="J59" s="11" t="inlineStr">
        <is>
          <t>Rack selectivo para insumos y empaque</t>
        </is>
      </c>
      <c r="K59" s="13" t="inlineStr">
        <is>
          <t>https://www.tecopesca.com</t>
        </is>
      </c>
      <c r="L59" s="11" t="inlineStr"/>
      <c r="M59" s="11" t="inlineStr"/>
      <c r="N59" s="11" t="inlineStr"/>
      <c r="O59" s="11" t="inlineStr"/>
      <c r="P59" s="13" t="inlineStr">
        <is>
          <t>Abrir</t>
        </is>
      </c>
      <c r="Q59" s="13" t="inlineStr">
        <is>
          <t>Abrir</t>
        </is>
      </c>
      <c r="R59" s="11" t="inlineStr">
        <is>
          <t>Web oficial</t>
        </is>
      </c>
      <c r="S59" s="11" t="inlineStr">
        <is>
          <t>Pendiente</t>
        </is>
      </c>
    </row>
    <row r="60">
      <c r="A60" s="11" t="inlineStr">
        <is>
          <t>P059</t>
        </is>
      </c>
      <c r="B60" s="14" t="inlineStr">
        <is>
          <t>B</t>
        </is>
      </c>
      <c r="C60" s="11" t="inlineStr">
        <is>
          <t>Sierra</t>
        </is>
      </c>
      <c r="D60" s="11" t="inlineStr">
        <is>
          <t>Azuay</t>
        </is>
      </c>
      <c r="E60" s="11" t="inlineStr">
        <is>
          <t>Cuenca</t>
        </is>
      </c>
      <c r="F60" s="11" t="inlineStr">
        <is>
          <t>Colineal</t>
        </is>
      </c>
      <c r="G60" s="11" t="inlineStr">
        <is>
          <t>Muebles</t>
        </is>
      </c>
      <c r="H60" s="11" t="inlineStr">
        <is>
          <t>Manufactura</t>
        </is>
      </c>
      <c r="I60" s="11" t="inlineStr">
        <is>
          <t>Bodegas de muebles y materia prima</t>
        </is>
      </c>
      <c r="J60" s="11" t="inlineStr">
        <is>
          <t>Rack selectivo para materia prima y PT</t>
        </is>
      </c>
      <c r="K60" s="13" t="inlineStr">
        <is>
          <t>https://www.colineal.com</t>
        </is>
      </c>
      <c r="L60" s="11" t="inlineStr"/>
      <c r="M60" s="11" t="inlineStr"/>
      <c r="N60" s="11" t="inlineStr"/>
      <c r="O60" s="11" t="inlineStr"/>
      <c r="P60" s="13" t="inlineStr">
        <is>
          <t>Abrir</t>
        </is>
      </c>
      <c r="Q60" s="13" t="inlineStr">
        <is>
          <t>Abrir</t>
        </is>
      </c>
      <c r="R60" s="11" t="inlineStr">
        <is>
          <t>Web oficial</t>
        </is>
      </c>
      <c r="S60" s="11" t="inlineStr">
        <is>
          <t>Pendiente</t>
        </is>
      </c>
    </row>
    <row r="61">
      <c r="A61" s="11" t="inlineStr">
        <is>
          <t>P060</t>
        </is>
      </c>
      <c r="B61" s="14" t="inlineStr">
        <is>
          <t>B</t>
        </is>
      </c>
      <c r="C61" s="11" t="inlineStr">
        <is>
          <t>Sierra</t>
        </is>
      </c>
      <c r="D61" s="11" t="inlineStr">
        <is>
          <t>Azuay</t>
        </is>
      </c>
      <c r="E61" s="11" t="inlineStr">
        <is>
          <t>Cuenca</t>
        </is>
      </c>
      <c r="F61" s="11" t="inlineStr">
        <is>
          <t>Continental Tire Andina</t>
        </is>
      </c>
      <c r="G61" s="11" t="inlineStr">
        <is>
          <t>Llantas</t>
        </is>
      </c>
      <c r="H61" s="11" t="inlineStr">
        <is>
          <t>Automotriz y repuestos</t>
        </is>
      </c>
      <c r="I61" s="11" t="inlineStr">
        <is>
          <t>Almacenaje de llantas</t>
        </is>
      </c>
      <c r="J61" s="11" t="inlineStr">
        <is>
          <t>Perchas de picking para repuestos</t>
        </is>
      </c>
      <c r="K61" s="13" t="inlineStr">
        <is>
          <t>https://www.continentaltire.com.ec</t>
        </is>
      </c>
      <c r="L61" s="11" t="inlineStr"/>
      <c r="M61" s="11" t="inlineStr"/>
      <c r="N61" s="11" t="inlineStr"/>
      <c r="O61" s="11" t="inlineStr"/>
      <c r="P61" s="13" t="inlineStr">
        <is>
          <t>Abrir</t>
        </is>
      </c>
      <c r="Q61" s="13" t="inlineStr">
        <is>
          <t>Abrir</t>
        </is>
      </c>
      <c r="R61" s="11" t="inlineStr">
        <is>
          <t>El Mercurio: top 5 Azuay</t>
        </is>
      </c>
      <c r="S61" s="11" t="inlineStr">
        <is>
          <t>Pendiente</t>
        </is>
      </c>
    </row>
    <row r="62">
      <c r="A62" s="11" t="inlineStr">
        <is>
          <t>P061</t>
        </is>
      </c>
      <c r="B62" s="14" t="inlineStr">
        <is>
          <t>B</t>
        </is>
      </c>
      <c r="C62" s="11" t="inlineStr">
        <is>
          <t>Sierra</t>
        </is>
      </c>
      <c r="D62" s="11" t="inlineStr">
        <is>
          <t>Azuay</t>
        </is>
      </c>
      <c r="E62" s="11" t="inlineStr">
        <is>
          <t>Cuenca</t>
        </is>
      </c>
      <c r="F62" s="11" t="inlineStr">
        <is>
          <t>Fibroacero</t>
        </is>
      </c>
      <c r="G62" s="11" t="inlineStr">
        <is>
          <t>Metalmecánica</t>
        </is>
      </c>
      <c r="H62" s="11" t="inlineStr">
        <is>
          <t>Ferretería, acero y construcción</t>
        </is>
      </c>
      <c r="I62" s="11" t="inlineStr">
        <is>
          <t>Bodegas de materia prima y PT</t>
        </is>
      </c>
      <c r="J62" s="11" t="inlineStr">
        <is>
          <t>Rack selectivo + rack para perfiles largos (consultar)</t>
        </is>
      </c>
      <c r="K62" s="13" t="inlineStr">
        <is>
          <t>https://www.fibroacero.com</t>
        </is>
      </c>
      <c r="L62" s="11" t="inlineStr"/>
      <c r="M62" s="11" t="inlineStr"/>
      <c r="N62" s="11" t="inlineStr"/>
      <c r="O62" s="11" t="inlineStr"/>
      <c r="P62" s="13" t="inlineStr">
        <is>
          <t>Abrir</t>
        </is>
      </c>
      <c r="Q62" s="13" t="inlineStr">
        <is>
          <t>Abrir</t>
        </is>
      </c>
      <c r="R62" s="11" t="inlineStr">
        <is>
          <t>Web oficial</t>
        </is>
      </c>
      <c r="S62" s="11" t="inlineStr">
        <is>
          <t>Pendiente</t>
        </is>
      </c>
    </row>
    <row r="63">
      <c r="A63" s="11" t="inlineStr">
        <is>
          <t>P062</t>
        </is>
      </c>
      <c r="B63" s="14" t="inlineStr">
        <is>
          <t>B</t>
        </is>
      </c>
      <c r="C63" s="11" t="inlineStr">
        <is>
          <t>Sierra</t>
        </is>
      </c>
      <c r="D63" s="11" t="inlineStr">
        <is>
          <t>Azuay</t>
        </is>
      </c>
      <c r="E63" s="11" t="inlineStr">
        <is>
          <t>Cuenca</t>
        </is>
      </c>
      <c r="F63" s="11" t="inlineStr">
        <is>
          <t>Italimentos</t>
        </is>
      </c>
      <c r="G63" s="11" t="inlineStr">
        <is>
          <t>Alimentos</t>
        </is>
      </c>
      <c r="H63" s="11" t="inlineStr">
        <is>
          <t>Alimentos, bebidas y consumo</t>
        </is>
      </c>
      <c r="I63" s="11" t="inlineStr">
        <is>
          <t>Cámaras y bodegas</t>
        </is>
      </c>
      <c r="J63" s="11" t="inlineStr">
        <is>
          <t>Rack selectivo para pallets</t>
        </is>
      </c>
      <c r="K63" s="13" t="inlineStr">
        <is>
          <t>https://www.italimentos.com</t>
        </is>
      </c>
      <c r="L63" s="11" t="inlineStr"/>
      <c r="M63" s="11" t="inlineStr"/>
      <c r="N63" s="11" t="inlineStr"/>
      <c r="O63" s="11" t="inlineStr"/>
      <c r="P63" s="13" t="inlineStr">
        <is>
          <t>Abrir</t>
        </is>
      </c>
      <c r="Q63" s="13" t="inlineStr">
        <is>
          <t>Abrir</t>
        </is>
      </c>
      <c r="R63" s="11" t="inlineStr">
        <is>
          <t>Web oficial</t>
        </is>
      </c>
      <c r="S63" s="11" t="inlineStr">
        <is>
          <t>Pendiente</t>
        </is>
      </c>
    </row>
    <row r="64">
      <c r="A64" s="11" t="inlineStr">
        <is>
          <t>P063</t>
        </is>
      </c>
      <c r="B64" s="14" t="inlineStr">
        <is>
          <t>B</t>
        </is>
      </c>
      <c r="C64" s="11" t="inlineStr">
        <is>
          <t>Sierra</t>
        </is>
      </c>
      <c r="D64" s="11" t="inlineStr">
        <is>
          <t>Bolívar</t>
        </is>
      </c>
      <c r="E64" s="11" t="inlineStr">
        <is>
          <t>Salinas de Guaranda</t>
        </is>
      </c>
      <c r="F64" s="11" t="inlineStr">
        <is>
          <t>Salinerito (Gruppo Salinas)</t>
        </is>
      </c>
      <c r="G64" s="11" t="inlineStr">
        <is>
          <t>Alimentos / quesos</t>
        </is>
      </c>
      <c r="H64" s="11" t="inlineStr">
        <is>
          <t>Alimentos, bebidas y consumo</t>
        </is>
      </c>
      <c r="I64" s="11" t="inlineStr">
        <is>
          <t>Bodegas y cámaras</t>
        </is>
      </c>
      <c r="J64" s="11" t="inlineStr">
        <is>
          <t>Rack selectivo para pallets</t>
        </is>
      </c>
      <c r="K64" s="13" t="inlineStr">
        <is>
          <t>https://www.salinerito.com</t>
        </is>
      </c>
      <c r="L64" s="11" t="inlineStr"/>
      <c r="M64" s="11" t="inlineStr"/>
      <c r="N64" s="11" t="inlineStr"/>
      <c r="O64" s="11" t="inlineStr"/>
      <c r="P64" s="13" t="inlineStr">
        <is>
          <t>Abrir</t>
        </is>
      </c>
      <c r="Q64" s="13" t="inlineStr">
        <is>
          <t>Abrir</t>
        </is>
      </c>
      <c r="R64" s="11" t="inlineStr">
        <is>
          <t>Web oficial</t>
        </is>
      </c>
      <c r="S64" s="11" t="inlineStr">
        <is>
          <t>Pendiente</t>
        </is>
      </c>
    </row>
    <row r="65">
      <c r="A65" s="11" t="inlineStr">
        <is>
          <t>P064</t>
        </is>
      </c>
      <c r="B65" s="14" t="inlineStr">
        <is>
          <t>B</t>
        </is>
      </c>
      <c r="C65" s="11" t="inlineStr">
        <is>
          <t>Sierra</t>
        </is>
      </c>
      <c r="D65" s="11" t="inlineStr">
        <is>
          <t>Cañar</t>
        </is>
      </c>
      <c r="E65" s="11" t="inlineStr">
        <is>
          <t>La Troncal</t>
        </is>
      </c>
      <c r="F65" s="11" t="inlineStr">
        <is>
          <t>Agroazúcar Ecuador</t>
        </is>
      </c>
      <c r="G65" s="11" t="inlineStr">
        <is>
          <t>Agroindustria / azúcar</t>
        </is>
      </c>
      <c r="H65" s="11" t="inlineStr">
        <is>
          <t>Agroindustria y acuacultura</t>
        </is>
      </c>
      <c r="I65" s="11" t="inlineStr">
        <is>
          <t>Bodegas de sacos en pallets</t>
        </is>
      </c>
      <c r="J65" s="11" t="inlineStr">
        <is>
          <t>Rack selectivo para insumos y empaque</t>
        </is>
      </c>
      <c r="K65" s="11" t="inlineStr"/>
      <c r="L65" s="11" t="inlineStr"/>
      <c r="M65" s="11" t="inlineStr"/>
      <c r="N65" s="11" t="inlineStr"/>
      <c r="O65" s="11" t="inlineStr"/>
      <c r="P65" s="13" t="inlineStr">
        <is>
          <t>Abrir</t>
        </is>
      </c>
      <c r="Q65" s="13" t="inlineStr">
        <is>
          <t>Abrir</t>
        </is>
      </c>
      <c r="R65" s="11" t="inlineStr">
        <is>
          <t>Primicias: mayor venta de Cañar 2023</t>
        </is>
      </c>
      <c r="S65" s="11" t="inlineStr">
        <is>
          <t>Pendiente</t>
        </is>
      </c>
    </row>
    <row r="66">
      <c r="A66" s="11" t="inlineStr">
        <is>
          <t>P065</t>
        </is>
      </c>
      <c r="B66" s="14" t="inlineStr">
        <is>
          <t>B</t>
        </is>
      </c>
      <c r="C66" s="11" t="inlineStr">
        <is>
          <t>Sierra</t>
        </is>
      </c>
      <c r="D66" s="11" t="inlineStr">
        <is>
          <t>Cañar</t>
        </is>
      </c>
      <c r="E66" s="11" t="inlineStr">
        <is>
          <t>Azogues</t>
        </is>
      </c>
      <c r="F66" s="11" t="inlineStr">
        <is>
          <t>Cadena de Farmacias Suiza (Cadfas)</t>
        </is>
      </c>
      <c r="G66" s="11" t="inlineStr">
        <is>
          <t>Farmacia / retail</t>
        </is>
      </c>
      <c r="H66" s="11" t="inlineStr">
        <is>
          <t>Farmacéutica</t>
        </is>
      </c>
      <c r="I66" s="11" t="inlineStr">
        <is>
          <t>Bodega central de farmacias</t>
        </is>
      </c>
      <c r="J66" s="11" t="inlineStr">
        <is>
          <t>Perchas de picking + rack selectivo</t>
        </is>
      </c>
      <c r="K66" s="11" t="inlineStr"/>
      <c r="L66" s="11" t="inlineStr"/>
      <c r="M66" s="11" t="inlineStr"/>
      <c r="N66" s="11" t="inlineStr"/>
      <c r="O66" s="11" t="inlineStr"/>
      <c r="P66" s="13" t="inlineStr">
        <is>
          <t>Abrir</t>
        </is>
      </c>
      <c r="Q66" s="13" t="inlineStr">
        <is>
          <t>Abrir</t>
        </is>
      </c>
      <c r="R66" s="11" t="inlineStr">
        <is>
          <t>Primicias: top Cañar</t>
        </is>
      </c>
      <c r="S66" s="11" t="inlineStr">
        <is>
          <t>Pendiente</t>
        </is>
      </c>
    </row>
    <row r="67">
      <c r="A67" s="11" t="inlineStr">
        <is>
          <t>P066</t>
        </is>
      </c>
      <c r="B67" s="14" t="inlineStr">
        <is>
          <t>B</t>
        </is>
      </c>
      <c r="C67" s="11" t="inlineStr">
        <is>
          <t>Sierra</t>
        </is>
      </c>
      <c r="D67" s="11" t="inlineStr">
        <is>
          <t>Chimborazo</t>
        </is>
      </c>
      <c r="E67" s="11" t="inlineStr">
        <is>
          <t>Riobamba</t>
        </is>
      </c>
      <c r="F67" s="11" t="inlineStr">
        <is>
          <t>Tubasec</t>
        </is>
      </c>
      <c r="G67" s="11" t="inlineStr">
        <is>
          <t>Materiales de construcción</t>
        </is>
      </c>
      <c r="H67" s="11" t="inlineStr">
        <is>
          <t>Ferretería, acero y construcción</t>
        </is>
      </c>
      <c r="I67" s="11" t="inlineStr">
        <is>
          <t>Bodegas de PT</t>
        </is>
      </c>
      <c r="J67" s="11" t="inlineStr">
        <is>
          <t>Rack selectivo + rack para perfiles largos (consultar)</t>
        </is>
      </c>
      <c r="K67" s="13" t="inlineStr">
        <is>
          <t>https://www.tubasec.com</t>
        </is>
      </c>
      <c r="L67" s="11" t="inlineStr"/>
      <c r="M67" s="11" t="inlineStr"/>
      <c r="N67" s="11" t="inlineStr"/>
      <c r="O67" s="11" t="inlineStr"/>
      <c r="P67" s="13" t="inlineStr">
        <is>
          <t>Abrir</t>
        </is>
      </c>
      <c r="Q67" s="13" t="inlineStr">
        <is>
          <t>Abrir</t>
        </is>
      </c>
      <c r="R67" s="11" t="inlineStr">
        <is>
          <t>Web oficial</t>
        </is>
      </c>
      <c r="S67" s="11" t="inlineStr">
        <is>
          <t>Pendiente</t>
        </is>
      </c>
    </row>
    <row r="68">
      <c r="A68" s="11" t="inlineStr">
        <is>
          <t>P067</t>
        </is>
      </c>
      <c r="B68" s="14" t="inlineStr">
        <is>
          <t>B</t>
        </is>
      </c>
      <c r="C68" s="11" t="inlineStr">
        <is>
          <t>Sierra</t>
        </is>
      </c>
      <c r="D68" s="11" t="inlineStr">
        <is>
          <t>Chimborazo</t>
        </is>
      </c>
      <c r="E68" s="11" t="inlineStr">
        <is>
          <t>Riobamba</t>
        </is>
      </c>
      <c r="F68" s="11" t="inlineStr">
        <is>
          <t>Unión Cementera Nacional (UCEM)</t>
        </is>
      </c>
      <c r="G68" s="11" t="inlineStr">
        <is>
          <t>Cemento</t>
        </is>
      </c>
      <c r="H68" s="11" t="inlineStr">
        <is>
          <t>Ferretería, acero y construcción</t>
        </is>
      </c>
      <c r="I68" s="11" t="inlineStr">
        <is>
          <t>Bodegas de repuestos e insumos</t>
        </is>
      </c>
      <c r="J68" s="11" t="inlineStr">
        <is>
          <t>Rack selectivo + rack para perfiles largos (consultar)</t>
        </is>
      </c>
      <c r="K68" s="13" t="inlineStr">
        <is>
          <t>https://www.ucem.com.ec</t>
        </is>
      </c>
      <c r="L68" s="11" t="inlineStr"/>
      <c r="M68" s="11" t="inlineStr"/>
      <c r="N68" s="11" t="inlineStr"/>
      <c r="O68" s="11" t="inlineStr"/>
      <c r="P68" s="13" t="inlineStr">
        <is>
          <t>Abrir</t>
        </is>
      </c>
      <c r="Q68" s="13" t="inlineStr">
        <is>
          <t>Abrir</t>
        </is>
      </c>
      <c r="R68" s="11" t="inlineStr">
        <is>
          <t>Primicias: mayor venta de Chimborazo</t>
        </is>
      </c>
      <c r="S68" s="11" t="inlineStr">
        <is>
          <t>Pendiente</t>
        </is>
      </c>
    </row>
    <row r="69">
      <c r="A69" s="11" t="inlineStr">
        <is>
          <t>P068</t>
        </is>
      </c>
      <c r="B69" s="14" t="inlineStr">
        <is>
          <t>B</t>
        </is>
      </c>
      <c r="C69" s="11" t="inlineStr">
        <is>
          <t>Sierra</t>
        </is>
      </c>
      <c r="D69" s="11" t="inlineStr">
        <is>
          <t>Cotopaxi</t>
        </is>
      </c>
      <c r="E69" s="11" t="inlineStr">
        <is>
          <t>Lasso</t>
        </is>
      </c>
      <c r="F69" s="11" t="inlineStr">
        <is>
          <t>Provefrut</t>
        </is>
      </c>
      <c r="G69" s="11" t="inlineStr">
        <is>
          <t>Agroindustria / congelados</t>
        </is>
      </c>
      <c r="H69" s="11" t="inlineStr">
        <is>
          <t>Agroindustria y acuacultura</t>
        </is>
      </c>
      <c r="I69" s="11" t="inlineStr">
        <is>
          <t>Cámaras de frío y bodegas</t>
        </is>
      </c>
      <c r="J69" s="11" t="inlineStr">
        <is>
          <t>Rack selectivo para insumos y empaque</t>
        </is>
      </c>
      <c r="K69" s="13" t="inlineStr">
        <is>
          <t>https://www.provefrut.com</t>
        </is>
      </c>
      <c r="L69" s="11" t="inlineStr"/>
      <c r="M69" s="11" t="inlineStr"/>
      <c r="N69" s="11" t="inlineStr"/>
      <c r="O69" s="11" t="inlineStr"/>
      <c r="P69" s="13" t="inlineStr">
        <is>
          <t>Abrir</t>
        </is>
      </c>
      <c r="Q69" s="13" t="inlineStr">
        <is>
          <t>Abrir</t>
        </is>
      </c>
      <c r="R69" s="11" t="inlineStr">
        <is>
          <t>Web oficial</t>
        </is>
      </c>
      <c r="S69" s="11" t="inlineStr">
        <is>
          <t>Pendiente</t>
        </is>
      </c>
    </row>
    <row r="70">
      <c r="A70" s="11" t="inlineStr">
        <is>
          <t>P069</t>
        </is>
      </c>
      <c r="B70" s="14" t="inlineStr">
        <is>
          <t>B</t>
        </is>
      </c>
      <c r="C70" s="11" t="inlineStr">
        <is>
          <t>Sierra</t>
        </is>
      </c>
      <c r="D70" s="11" t="inlineStr">
        <is>
          <t>Imbabura</t>
        </is>
      </c>
      <c r="E70" s="11" t="inlineStr">
        <is>
          <t>Cayambe-Ibarra</t>
        </is>
      </c>
      <c r="F70" s="11" t="inlineStr">
        <is>
          <t>Falconfarms</t>
        </is>
      </c>
      <c r="G70" s="11" t="inlineStr">
        <is>
          <t>Flores / exportación</t>
        </is>
      </c>
      <c r="H70" s="11" t="inlineStr">
        <is>
          <t>Agroindustria y acuacultura</t>
        </is>
      </c>
      <c r="I70" s="11" t="inlineStr">
        <is>
          <t>Bodegas de cartón e insumos</t>
        </is>
      </c>
      <c r="J70" s="11" t="inlineStr">
        <is>
          <t>Rack selectivo para insumos y empaque</t>
        </is>
      </c>
      <c r="K70" s="13" t="inlineStr">
        <is>
          <t>https://www.falconfarms.com</t>
        </is>
      </c>
      <c r="L70" s="11" t="inlineStr"/>
      <c r="M70" s="11" t="inlineStr"/>
      <c r="N70" s="11" t="inlineStr"/>
      <c r="O70" s="11" t="inlineStr"/>
      <c r="P70" s="13" t="inlineStr">
        <is>
          <t>Abrir</t>
        </is>
      </c>
      <c r="Q70" s="13" t="inlineStr">
        <is>
          <t>Abrir</t>
        </is>
      </c>
      <c r="R70" s="11" t="inlineStr">
        <is>
          <t>Primicias: mayor venta de Imbabura 2023</t>
        </is>
      </c>
      <c r="S70" s="11" t="inlineStr">
        <is>
          <t>Pendiente</t>
        </is>
      </c>
    </row>
    <row r="71">
      <c r="A71" s="11" t="inlineStr">
        <is>
          <t>P070</t>
        </is>
      </c>
      <c r="B71" s="14" t="inlineStr">
        <is>
          <t>B</t>
        </is>
      </c>
      <c r="C71" s="11" t="inlineStr">
        <is>
          <t>Sierra</t>
        </is>
      </c>
      <c r="D71" s="11" t="inlineStr">
        <is>
          <t>Imbabura</t>
        </is>
      </c>
      <c r="E71" s="11" t="inlineStr">
        <is>
          <t>Ibarra</t>
        </is>
      </c>
      <c r="F71" s="11" t="inlineStr">
        <is>
          <t>Floralp</t>
        </is>
      </c>
      <c r="G71" s="11" t="inlineStr">
        <is>
          <t>Lácteos</t>
        </is>
      </c>
      <c r="H71" s="11" t="inlineStr">
        <is>
          <t>Alimentos, bebidas y consumo</t>
        </is>
      </c>
      <c r="I71" s="11" t="inlineStr">
        <is>
          <t>Cámaras y bodegas</t>
        </is>
      </c>
      <c r="J71" s="11" t="inlineStr">
        <is>
          <t>Rack selectivo para pallets</t>
        </is>
      </c>
      <c r="K71" s="13" t="inlineStr">
        <is>
          <t>https://www.floralp.com.ec</t>
        </is>
      </c>
      <c r="L71" s="11" t="inlineStr"/>
      <c r="M71" s="11" t="inlineStr"/>
      <c r="N71" s="11" t="inlineStr"/>
      <c r="O71" s="11" t="inlineStr"/>
      <c r="P71" s="13" t="inlineStr">
        <is>
          <t>Abrir</t>
        </is>
      </c>
      <c r="Q71" s="13" t="inlineStr">
        <is>
          <t>Abrir</t>
        </is>
      </c>
      <c r="R71" s="11" t="inlineStr">
        <is>
          <t>Web oficial</t>
        </is>
      </c>
      <c r="S71" s="11" t="inlineStr">
        <is>
          <t>Pendiente</t>
        </is>
      </c>
    </row>
    <row r="72">
      <c r="A72" s="11" t="inlineStr">
        <is>
          <t>P071</t>
        </is>
      </c>
      <c r="B72" s="14" t="inlineStr">
        <is>
          <t>B</t>
        </is>
      </c>
      <c r="C72" s="11" t="inlineStr">
        <is>
          <t>Sierra</t>
        </is>
      </c>
      <c r="D72" s="11" t="inlineStr">
        <is>
          <t>Imbabura</t>
        </is>
      </c>
      <c r="E72" s="11" t="inlineStr">
        <is>
          <t>Ibarra</t>
        </is>
      </c>
      <c r="F72" s="11" t="inlineStr">
        <is>
          <t>Imbauto</t>
        </is>
      </c>
      <c r="G72" s="11" t="inlineStr">
        <is>
          <t>Automotriz</t>
        </is>
      </c>
      <c r="H72" s="11" t="inlineStr">
        <is>
          <t>Automotriz y repuestos</t>
        </is>
      </c>
      <c r="I72" s="11" t="inlineStr">
        <is>
          <t>Bodegas de repuestos (perchas)</t>
        </is>
      </c>
      <c r="J72" s="11" t="inlineStr">
        <is>
          <t>Perchas de picking para repuestos</t>
        </is>
      </c>
      <c r="K72" s="13" t="inlineStr">
        <is>
          <t>https://www.imbauto.com.ec</t>
        </is>
      </c>
      <c r="L72" s="11" t="inlineStr"/>
      <c r="M72" s="11" t="inlineStr"/>
      <c r="N72" s="11" t="inlineStr"/>
      <c r="O72" s="11" t="inlineStr"/>
      <c r="P72" s="13" t="inlineStr">
        <is>
          <t>Abrir</t>
        </is>
      </c>
      <c r="Q72" s="13" t="inlineStr">
        <is>
          <t>Abrir</t>
        </is>
      </c>
      <c r="R72" s="11" t="inlineStr">
        <is>
          <t>Primicias: top Imbabura</t>
        </is>
      </c>
      <c r="S72" s="11" t="inlineStr">
        <is>
          <t>Pendiente</t>
        </is>
      </c>
    </row>
    <row r="73">
      <c r="A73" s="11" t="inlineStr">
        <is>
          <t>P072</t>
        </is>
      </c>
      <c r="B73" s="14" t="inlineStr">
        <is>
          <t>B</t>
        </is>
      </c>
      <c r="C73" s="11" t="inlineStr">
        <is>
          <t>Sierra</t>
        </is>
      </c>
      <c r="D73" s="11" t="inlineStr">
        <is>
          <t>Loja</t>
        </is>
      </c>
      <c r="E73" s="11" t="inlineStr">
        <is>
          <t>Loja</t>
        </is>
      </c>
      <c r="F73" s="11" t="inlineStr">
        <is>
          <t>Farmacias Cuxibamba (Farmacux)</t>
        </is>
      </c>
      <c r="G73" s="11" t="inlineStr">
        <is>
          <t>Farmacia / retail</t>
        </is>
      </c>
      <c r="H73" s="11" t="inlineStr">
        <is>
          <t>Farmacéutica</t>
        </is>
      </c>
      <c r="I73" s="11" t="inlineStr">
        <is>
          <t>Bodega central de farmacias</t>
        </is>
      </c>
      <c r="J73" s="11" t="inlineStr">
        <is>
          <t>Perchas de picking + rack selectivo</t>
        </is>
      </c>
      <c r="K73" s="11" t="inlineStr"/>
      <c r="L73" s="11" t="inlineStr"/>
      <c r="M73" s="11" t="inlineStr"/>
      <c r="N73" s="11" t="inlineStr"/>
      <c r="O73" s="11" t="inlineStr"/>
      <c r="P73" s="13" t="inlineStr">
        <is>
          <t>Abrir</t>
        </is>
      </c>
      <c r="Q73" s="13" t="inlineStr">
        <is>
          <t>Abrir</t>
        </is>
      </c>
      <c r="R73" s="11" t="inlineStr">
        <is>
          <t>Primicias: top Loja</t>
        </is>
      </c>
      <c r="S73" s="11" t="inlineStr">
        <is>
          <t>Pendiente</t>
        </is>
      </c>
    </row>
    <row r="74">
      <c r="A74" s="11" t="inlineStr">
        <is>
          <t>P073</t>
        </is>
      </c>
      <c r="B74" s="14" t="inlineStr">
        <is>
          <t>B</t>
        </is>
      </c>
      <c r="C74" s="11" t="inlineStr">
        <is>
          <t>Sierra</t>
        </is>
      </c>
      <c r="D74" s="11" t="inlineStr">
        <is>
          <t>Loja</t>
        </is>
      </c>
      <c r="E74" s="11" t="inlineStr">
        <is>
          <t>Catamayo</t>
        </is>
      </c>
      <c r="F74" s="11" t="inlineStr">
        <is>
          <t>Monterrey Azucarera Lojana (Malca)</t>
        </is>
      </c>
      <c r="G74" s="11" t="inlineStr">
        <is>
          <t>Agroindustria / azúcar</t>
        </is>
      </c>
      <c r="H74" s="11" t="inlineStr">
        <is>
          <t>Agroindustria y acuacultura</t>
        </is>
      </c>
      <c r="I74" s="11" t="inlineStr">
        <is>
          <t>Bodegas de sacos en pallets</t>
        </is>
      </c>
      <c r="J74" s="11" t="inlineStr">
        <is>
          <t>Rack selectivo para insumos y empaque</t>
        </is>
      </c>
      <c r="K74" s="13" t="inlineStr">
        <is>
          <t>https://www.malca.com.ec</t>
        </is>
      </c>
      <c r="L74" s="11" t="inlineStr"/>
      <c r="M74" s="11" t="inlineStr"/>
      <c r="N74" s="11" t="inlineStr"/>
      <c r="O74" s="11" t="inlineStr"/>
      <c r="P74" s="13" t="inlineStr">
        <is>
          <t>Abrir</t>
        </is>
      </c>
      <c r="Q74" s="13" t="inlineStr">
        <is>
          <t>Abrir</t>
        </is>
      </c>
      <c r="R74" s="11" t="inlineStr">
        <is>
          <t>Web oficial</t>
        </is>
      </c>
      <c r="S74" s="11" t="inlineStr">
        <is>
          <t>Pendiente</t>
        </is>
      </c>
    </row>
    <row r="75">
      <c r="A75" s="11" t="inlineStr">
        <is>
          <t>P074</t>
        </is>
      </c>
      <c r="B75" s="14" t="inlineStr">
        <is>
          <t>B</t>
        </is>
      </c>
      <c r="C75" s="11" t="inlineStr">
        <is>
          <t>Sierra</t>
        </is>
      </c>
      <c r="D75" s="11" t="inlineStr">
        <is>
          <t>Pichincha</t>
        </is>
      </c>
      <c r="E75" s="11" t="inlineStr">
        <is>
          <t>Quito</t>
        </is>
      </c>
      <c r="F75" s="11" t="inlineStr">
        <is>
          <t>Acromax</t>
        </is>
      </c>
      <c r="G75" s="11" t="inlineStr">
        <is>
          <t>Farmacéutica</t>
        </is>
      </c>
      <c r="H75" s="11" t="inlineStr">
        <is>
          <t>Farmacéutica</t>
        </is>
      </c>
      <c r="I75" s="11" t="inlineStr">
        <is>
          <t>Bodegas de materia prima y PT</t>
        </is>
      </c>
      <c r="J75" s="11" t="inlineStr">
        <is>
          <t>Perchas de picking + rack selectivo</t>
        </is>
      </c>
      <c r="K75" s="13" t="inlineStr">
        <is>
          <t>https://www.acromax.com.ec</t>
        </is>
      </c>
      <c r="L75" s="11" t="inlineStr"/>
      <c r="M75" s="11" t="inlineStr"/>
      <c r="N75" s="11" t="inlineStr"/>
      <c r="O75" s="11" t="inlineStr"/>
      <c r="P75" s="13" t="inlineStr">
        <is>
          <t>Abrir</t>
        </is>
      </c>
      <c r="Q75" s="13" t="inlineStr">
        <is>
          <t>Abrir</t>
        </is>
      </c>
      <c r="R75" s="11" t="inlineStr">
        <is>
          <t>Web oficial</t>
        </is>
      </c>
      <c r="S75" s="11" t="inlineStr">
        <is>
          <t>Pendiente</t>
        </is>
      </c>
    </row>
    <row r="76">
      <c r="A76" s="11" t="inlineStr">
        <is>
          <t>P075</t>
        </is>
      </c>
      <c r="B76" s="14" t="inlineStr">
        <is>
          <t>B</t>
        </is>
      </c>
      <c r="C76" s="11" t="inlineStr">
        <is>
          <t>Sierra</t>
        </is>
      </c>
      <c r="D76" s="11" t="inlineStr">
        <is>
          <t>Pichincha</t>
        </is>
      </c>
      <c r="E76" s="11" t="inlineStr">
        <is>
          <t>Alóag</t>
        </is>
      </c>
      <c r="F76" s="11" t="inlineStr">
        <is>
          <t>Adelca</t>
        </is>
      </c>
      <c r="G76" s="11" t="inlineStr">
        <is>
          <t>Acero</t>
        </is>
      </c>
      <c r="H76" s="11" t="inlineStr">
        <is>
          <t>Ferretería, acero y construcción</t>
        </is>
      </c>
      <c r="I76" s="11" t="inlineStr">
        <is>
          <t>Almacenaje de varilla y perfiles</t>
        </is>
      </c>
      <c r="J76" s="11" t="inlineStr">
        <is>
          <t>Rack selectivo + rack para perfiles largos (consultar)</t>
        </is>
      </c>
      <c r="K76" s="13" t="inlineStr">
        <is>
          <t>https://www.adelca.com</t>
        </is>
      </c>
      <c r="L76" s="11" t="inlineStr"/>
      <c r="M76" s="11" t="inlineStr"/>
      <c r="N76" s="11" t="inlineStr"/>
      <c r="O76" s="11" t="inlineStr"/>
      <c r="P76" s="13" t="inlineStr">
        <is>
          <t>Abrir</t>
        </is>
      </c>
      <c r="Q76" s="13" t="inlineStr">
        <is>
          <t>Abrir</t>
        </is>
      </c>
      <c r="R76" s="11" t="inlineStr">
        <is>
          <t>Web oficial</t>
        </is>
      </c>
      <c r="S76" s="11" t="inlineStr">
        <is>
          <t>Pendiente</t>
        </is>
      </c>
    </row>
    <row r="77">
      <c r="A77" s="11" t="inlineStr">
        <is>
          <t>P076</t>
        </is>
      </c>
      <c r="B77" s="14" t="inlineStr">
        <is>
          <t>B</t>
        </is>
      </c>
      <c r="C77" s="11" t="inlineStr">
        <is>
          <t>Sierra</t>
        </is>
      </c>
      <c r="D77" s="11" t="inlineStr">
        <is>
          <t>Pichincha</t>
        </is>
      </c>
      <c r="E77" s="11" t="inlineStr">
        <is>
          <t>Sangolquí</t>
        </is>
      </c>
      <c r="F77" s="11" t="inlineStr">
        <is>
          <t>Danec</t>
        </is>
      </c>
      <c r="G77" s="11" t="inlineStr">
        <is>
          <t>Alimentos / aceites</t>
        </is>
      </c>
      <c r="H77" s="11" t="inlineStr">
        <is>
          <t>Alimentos, bebidas y consumo</t>
        </is>
      </c>
      <c r="I77" s="11" t="inlineStr">
        <is>
          <t>Bodegas de PT</t>
        </is>
      </c>
      <c r="J77" s="11" t="inlineStr">
        <is>
          <t>Rack selectivo para pallets</t>
        </is>
      </c>
      <c r="K77" s="13" t="inlineStr">
        <is>
          <t>https://www.danec.com</t>
        </is>
      </c>
      <c r="L77" s="11" t="inlineStr"/>
      <c r="M77" s="11" t="inlineStr"/>
      <c r="N77" s="11" t="inlineStr"/>
      <c r="O77" s="11" t="inlineStr"/>
      <c r="P77" s="13" t="inlineStr">
        <is>
          <t>Abrir</t>
        </is>
      </c>
      <c r="Q77" s="13" t="inlineStr">
        <is>
          <t>Abrir</t>
        </is>
      </c>
      <c r="R77" s="11" t="inlineStr">
        <is>
          <t>Web oficial</t>
        </is>
      </c>
      <c r="S77" s="11" t="inlineStr">
        <is>
          <t>Pendiente</t>
        </is>
      </c>
    </row>
    <row r="78">
      <c r="A78" s="11" t="inlineStr">
        <is>
          <t>P077</t>
        </is>
      </c>
      <c r="B78" s="14" t="inlineStr">
        <is>
          <t>B</t>
        </is>
      </c>
      <c r="C78" s="11" t="inlineStr">
        <is>
          <t>Sierra</t>
        </is>
      </c>
      <c r="D78" s="11" t="inlineStr">
        <is>
          <t>Pichincha</t>
        </is>
      </c>
      <c r="E78" s="11" t="inlineStr">
        <is>
          <t>Quito</t>
        </is>
      </c>
      <c r="F78" s="11" t="inlineStr">
        <is>
          <t>Dipor</t>
        </is>
      </c>
      <c r="G78" s="11" t="inlineStr">
        <is>
          <t>Distribución consumo masivo</t>
        </is>
      </c>
      <c r="H78" s="11" t="inlineStr">
        <is>
          <t>Alimentos, bebidas y consumo</t>
        </is>
      </c>
      <c r="I78" s="11" t="inlineStr">
        <is>
          <t>CD de distribución</t>
        </is>
      </c>
      <c r="J78" s="11" t="inlineStr">
        <is>
          <t>Rack selectivo para pallets</t>
        </is>
      </c>
      <c r="K78" s="13" t="inlineStr">
        <is>
          <t>https://www.dipor.com.ec</t>
        </is>
      </c>
      <c r="L78" s="11" t="inlineStr"/>
      <c r="M78" s="11" t="inlineStr"/>
      <c r="N78" s="11" t="inlineStr"/>
      <c r="O78" s="11" t="inlineStr"/>
      <c r="P78" s="13" t="inlineStr">
        <is>
          <t>Abrir</t>
        </is>
      </c>
      <c r="Q78" s="13" t="inlineStr">
        <is>
          <t>Abrir</t>
        </is>
      </c>
      <c r="R78" s="11" t="inlineStr">
        <is>
          <t>Web oficial</t>
        </is>
      </c>
      <c r="S78" s="11" t="inlineStr">
        <is>
          <t>Pendiente</t>
        </is>
      </c>
    </row>
    <row r="79">
      <c r="A79" s="11" t="inlineStr">
        <is>
          <t>P078</t>
        </is>
      </c>
      <c r="B79" s="14" t="inlineStr">
        <is>
          <t>B</t>
        </is>
      </c>
      <c r="C79" s="11" t="inlineStr">
        <is>
          <t>Sierra</t>
        </is>
      </c>
      <c r="D79" s="11" t="inlineStr">
        <is>
          <t>Pichincha</t>
        </is>
      </c>
      <c r="E79" s="11" t="inlineStr">
        <is>
          <t>Quito</t>
        </is>
      </c>
      <c r="F79" s="11" t="inlineStr">
        <is>
          <t>Laboratorios Life</t>
        </is>
      </c>
      <c r="G79" s="11" t="inlineStr">
        <is>
          <t>Farmacéutica</t>
        </is>
      </c>
      <c r="H79" s="11" t="inlineStr">
        <is>
          <t>Farmacéutica</t>
        </is>
      </c>
      <c r="I79" s="11" t="inlineStr">
        <is>
          <t>Bodegas de materia prima y PT</t>
        </is>
      </c>
      <c r="J79" s="11" t="inlineStr">
        <is>
          <t>Perchas de picking + rack selectivo</t>
        </is>
      </c>
      <c r="K79" s="13" t="inlineStr">
        <is>
          <t>https://www.life.com.ec</t>
        </is>
      </c>
      <c r="L79" s="11" t="inlineStr"/>
      <c r="M79" s="11" t="inlineStr"/>
      <c r="N79" s="11" t="inlineStr"/>
      <c r="O79" s="11" t="inlineStr"/>
      <c r="P79" s="13" t="inlineStr">
        <is>
          <t>Abrir</t>
        </is>
      </c>
      <c r="Q79" s="13" t="inlineStr">
        <is>
          <t>Abrir</t>
        </is>
      </c>
      <c r="R79" s="11" t="inlineStr">
        <is>
          <t>Web oficial</t>
        </is>
      </c>
      <c r="S79" s="11" t="inlineStr">
        <is>
          <t>Pendiente</t>
        </is>
      </c>
    </row>
    <row r="80">
      <c r="A80" s="11" t="inlineStr">
        <is>
          <t>P079</t>
        </is>
      </c>
      <c r="B80" s="14" t="inlineStr">
        <is>
          <t>B</t>
        </is>
      </c>
      <c r="C80" s="11" t="inlineStr">
        <is>
          <t>Sierra</t>
        </is>
      </c>
      <c r="D80" s="11" t="inlineStr">
        <is>
          <t>Pichincha</t>
        </is>
      </c>
      <c r="E80" s="11" t="inlineStr">
        <is>
          <t>Quito</t>
        </is>
      </c>
      <c r="F80" s="11" t="inlineStr">
        <is>
          <t>Moderna Alimentos</t>
        </is>
      </c>
      <c r="G80" s="11" t="inlineStr">
        <is>
          <t>Alimentos / harinas</t>
        </is>
      </c>
      <c r="H80" s="11" t="inlineStr">
        <is>
          <t>Alimentos, bebidas y consumo</t>
        </is>
      </c>
      <c r="I80" s="11" t="inlineStr">
        <is>
          <t>Bodegas de sacos en pallets</t>
        </is>
      </c>
      <c r="J80" s="11" t="inlineStr">
        <is>
          <t>Rack selectivo para pallets</t>
        </is>
      </c>
      <c r="K80" s="13" t="inlineStr">
        <is>
          <t>https://www.modernaalimentos.com.ec</t>
        </is>
      </c>
      <c r="L80" s="11" t="inlineStr"/>
      <c r="M80" s="11" t="inlineStr"/>
      <c r="N80" s="11" t="inlineStr"/>
      <c r="O80" s="11" t="inlineStr"/>
      <c r="P80" s="13" t="inlineStr">
        <is>
          <t>Abrir</t>
        </is>
      </c>
      <c r="Q80" s="13" t="inlineStr">
        <is>
          <t>Abrir</t>
        </is>
      </c>
      <c r="R80" s="11" t="inlineStr">
        <is>
          <t>Web oficial</t>
        </is>
      </c>
      <c r="S80" s="11" t="inlineStr">
        <is>
          <t>Pendiente</t>
        </is>
      </c>
    </row>
    <row r="81">
      <c r="A81" s="11" t="inlineStr">
        <is>
          <t>P080</t>
        </is>
      </c>
      <c r="B81" s="14" t="inlineStr">
        <is>
          <t>B</t>
        </is>
      </c>
      <c r="C81" s="11" t="inlineStr">
        <is>
          <t>Sierra</t>
        </is>
      </c>
      <c r="D81" s="11" t="inlineStr">
        <is>
          <t>Pichincha</t>
        </is>
      </c>
      <c r="E81" s="11" t="inlineStr">
        <is>
          <t>Quito</t>
        </is>
      </c>
      <c r="F81" s="11" t="inlineStr">
        <is>
          <t>Pinturas Cóndor</t>
        </is>
      </c>
      <c r="G81" s="11" t="inlineStr">
        <is>
          <t>Manufactura pinturas</t>
        </is>
      </c>
      <c r="H81" s="11" t="inlineStr">
        <is>
          <t>Manufactura</t>
        </is>
      </c>
      <c r="I81" s="11" t="inlineStr">
        <is>
          <t>Bodegas de PT</t>
        </is>
      </c>
      <c r="J81" s="11" t="inlineStr">
        <is>
          <t>Rack selectivo para materia prima y PT</t>
        </is>
      </c>
      <c r="K81" s="13" t="inlineStr">
        <is>
          <t>https://www.pinturascondor.com</t>
        </is>
      </c>
      <c r="L81" s="11" t="inlineStr"/>
      <c r="M81" s="11" t="inlineStr"/>
      <c r="N81" s="11" t="inlineStr"/>
      <c r="O81" s="11" t="inlineStr"/>
      <c r="P81" s="13" t="inlineStr">
        <is>
          <t>Abrir</t>
        </is>
      </c>
      <c r="Q81" s="13" t="inlineStr">
        <is>
          <t>Abrir</t>
        </is>
      </c>
      <c r="R81" s="11" t="inlineStr">
        <is>
          <t>Web oficial</t>
        </is>
      </c>
      <c r="S81" s="11" t="inlineStr">
        <is>
          <t>Pendiente</t>
        </is>
      </c>
    </row>
    <row r="82">
      <c r="A82" s="11" t="inlineStr">
        <is>
          <t>P081</t>
        </is>
      </c>
      <c r="B82" s="14" t="inlineStr">
        <is>
          <t>B</t>
        </is>
      </c>
      <c r="C82" s="11" t="inlineStr">
        <is>
          <t>Sierra</t>
        </is>
      </c>
      <c r="D82" s="11" t="inlineStr">
        <is>
          <t>Pichincha</t>
        </is>
      </c>
      <c r="E82" s="11" t="inlineStr">
        <is>
          <t>Quito</t>
        </is>
      </c>
      <c r="F82" s="11" t="inlineStr">
        <is>
          <t>Servientrega</t>
        </is>
      </c>
      <c r="G82" s="11" t="inlineStr">
        <is>
          <t>Logística / courier</t>
        </is>
      </c>
      <c r="H82" s="11" t="inlineStr">
        <is>
          <t>Logística y courier</t>
        </is>
      </c>
      <c r="I82" s="11" t="inlineStr">
        <is>
          <t>Centros de acopio nacionales</t>
        </is>
      </c>
      <c r="J82" s="11" t="inlineStr">
        <is>
          <t>Rack selectivo + perchas + mezzanine (consultar)</t>
        </is>
      </c>
      <c r="K82" s="13" t="inlineStr">
        <is>
          <t>https://www.servientrega.com.ec</t>
        </is>
      </c>
      <c r="L82" s="11" t="inlineStr"/>
      <c r="M82" s="11" t="inlineStr"/>
      <c r="N82" s="11" t="inlineStr"/>
      <c r="O82" s="11" t="inlineStr"/>
      <c r="P82" s="13" t="inlineStr">
        <is>
          <t>Abrir</t>
        </is>
      </c>
      <c r="Q82" s="13" t="inlineStr">
        <is>
          <t>Abrir</t>
        </is>
      </c>
      <c r="R82" s="11" t="inlineStr">
        <is>
          <t>Web oficial</t>
        </is>
      </c>
      <c r="S82" s="11" t="inlineStr">
        <is>
          <t>Pendiente</t>
        </is>
      </c>
    </row>
    <row r="83">
      <c r="A83" s="11" t="inlineStr">
        <is>
          <t>P082</t>
        </is>
      </c>
      <c r="B83" s="14" t="inlineStr">
        <is>
          <t>B</t>
        </is>
      </c>
      <c r="C83" s="11" t="inlineStr">
        <is>
          <t>Sierra</t>
        </is>
      </c>
      <c r="D83" s="11" t="inlineStr">
        <is>
          <t>Pichincha</t>
        </is>
      </c>
      <c r="E83" s="11" t="inlineStr">
        <is>
          <t>Quito</t>
        </is>
      </c>
      <c r="F83" s="11" t="inlineStr">
        <is>
          <t>Supermercados Santa María</t>
        </is>
      </c>
      <c r="G83" s="11" t="inlineStr">
        <is>
          <t>Retail / supermercados</t>
        </is>
      </c>
      <c r="H83" s="11" t="inlineStr">
        <is>
          <t>Retail y supermercados</t>
        </is>
      </c>
      <c r="I83" s="11" t="inlineStr">
        <is>
          <t>CD y bodegas de tiendas</t>
        </is>
      </c>
      <c r="J83" s="11" t="inlineStr">
        <is>
          <t>Rack selectivo para CD + perchas de picking</t>
        </is>
      </c>
      <c r="K83" s="13" t="inlineStr">
        <is>
          <t>https://www.santamaria.com.ec</t>
        </is>
      </c>
      <c r="L83" s="11" t="inlineStr"/>
      <c r="M83" s="11" t="inlineStr"/>
      <c r="N83" s="11" t="inlineStr"/>
      <c r="O83" s="11" t="inlineStr"/>
      <c r="P83" s="13" t="inlineStr">
        <is>
          <t>Abrir</t>
        </is>
      </c>
      <c r="Q83" s="13" t="inlineStr">
        <is>
          <t>Abrir</t>
        </is>
      </c>
      <c r="R83" s="11" t="inlineStr">
        <is>
          <t>Web oficial</t>
        </is>
      </c>
      <c r="S83" s="11" t="inlineStr">
        <is>
          <t>Pendiente</t>
        </is>
      </c>
    </row>
    <row r="84">
      <c r="A84" s="11" t="inlineStr">
        <is>
          <t>P083</t>
        </is>
      </c>
      <c r="B84" s="14" t="inlineStr">
        <is>
          <t>B</t>
        </is>
      </c>
      <c r="C84" s="11" t="inlineStr">
        <is>
          <t>Sierra</t>
        </is>
      </c>
      <c r="D84" s="11" t="inlineStr">
        <is>
          <t>Pichincha</t>
        </is>
      </c>
      <c r="E84" s="11" t="inlineStr">
        <is>
          <t>Machachi</t>
        </is>
      </c>
      <c r="F84" s="11" t="inlineStr">
        <is>
          <t>Tesalia Springs</t>
        </is>
      </c>
      <c r="G84" s="11" t="inlineStr">
        <is>
          <t>Bebidas</t>
        </is>
      </c>
      <c r="H84" s="11" t="inlineStr">
        <is>
          <t>Alimentos, bebidas y consumo</t>
        </is>
      </c>
      <c r="I84" s="11" t="inlineStr">
        <is>
          <t>Bodegas de PT y envases</t>
        </is>
      </c>
      <c r="J84" s="11" t="inlineStr">
        <is>
          <t>Rack selectivo para pallets</t>
        </is>
      </c>
      <c r="K84" s="13" t="inlineStr">
        <is>
          <t>https://www.tesalia.com.ec</t>
        </is>
      </c>
      <c r="L84" s="11" t="inlineStr"/>
      <c r="M84" s="11" t="inlineStr"/>
      <c r="N84" s="11" t="inlineStr"/>
      <c r="O84" s="11" t="inlineStr"/>
      <c r="P84" s="13" t="inlineStr">
        <is>
          <t>Abrir</t>
        </is>
      </c>
      <c r="Q84" s="13" t="inlineStr">
        <is>
          <t>Abrir</t>
        </is>
      </c>
      <c r="R84" s="11" t="inlineStr">
        <is>
          <t>Web oficial</t>
        </is>
      </c>
      <c r="S84" s="11" t="inlineStr">
        <is>
          <t>Pendiente</t>
        </is>
      </c>
    </row>
    <row r="85">
      <c r="A85" s="11" t="inlineStr">
        <is>
          <t>P084</t>
        </is>
      </c>
      <c r="B85" s="14" t="inlineStr">
        <is>
          <t>B</t>
        </is>
      </c>
      <c r="C85" s="11" t="inlineStr">
        <is>
          <t>Sierra</t>
        </is>
      </c>
      <c r="D85" s="11" t="inlineStr">
        <is>
          <t>Pichincha</t>
        </is>
      </c>
      <c r="E85" s="11" t="inlineStr">
        <is>
          <t>Quito</t>
        </is>
      </c>
      <c r="F85" s="11" t="inlineStr">
        <is>
          <t>Tramaco Express</t>
        </is>
      </c>
      <c r="G85" s="11" t="inlineStr">
        <is>
          <t>Logística / courier</t>
        </is>
      </c>
      <c r="H85" s="11" t="inlineStr">
        <is>
          <t>Logística y courier</t>
        </is>
      </c>
      <c r="I85" s="11" t="inlineStr">
        <is>
          <t>Centros de acopio</t>
        </is>
      </c>
      <c r="J85" s="11" t="inlineStr">
        <is>
          <t>Rack selectivo + perchas + mezzanine (consultar)</t>
        </is>
      </c>
      <c r="K85" s="13" t="inlineStr">
        <is>
          <t>https://www.tramaco.com.ec</t>
        </is>
      </c>
      <c r="L85" s="11" t="inlineStr"/>
      <c r="M85" s="11" t="inlineStr"/>
      <c r="N85" s="11" t="inlineStr"/>
      <c r="O85" s="11" t="inlineStr"/>
      <c r="P85" s="13" t="inlineStr">
        <is>
          <t>Abrir</t>
        </is>
      </c>
      <c r="Q85" s="13" t="inlineStr">
        <is>
          <t>Abrir</t>
        </is>
      </c>
      <c r="R85" s="11" t="inlineStr">
        <is>
          <t>Web oficial</t>
        </is>
      </c>
      <c r="S85" s="11" t="inlineStr">
        <is>
          <t>Pendiente</t>
        </is>
      </c>
    </row>
    <row r="86">
      <c r="A86" s="11" t="inlineStr">
        <is>
          <t>P085</t>
        </is>
      </c>
      <c r="B86" s="14" t="inlineStr">
        <is>
          <t>B</t>
        </is>
      </c>
      <c r="C86" s="11" t="inlineStr">
        <is>
          <t>Amazonía</t>
        </is>
      </c>
      <c r="D86" s="11" t="inlineStr">
        <is>
          <t>Napo</t>
        </is>
      </c>
      <c r="E86" s="11" t="inlineStr">
        <is>
          <t>Tena</t>
        </is>
      </c>
      <c r="F86" s="11" t="inlineStr">
        <is>
          <t>Aves del Oriente</t>
        </is>
      </c>
      <c r="G86" s="11" t="inlineStr">
        <is>
          <t>Avícola</t>
        </is>
      </c>
      <c r="H86" s="11" t="inlineStr">
        <is>
          <t>Agroindustria y acuacultura</t>
        </is>
      </c>
      <c r="I86" s="11" t="inlineStr">
        <is>
          <t>Bodegas de insumos</t>
        </is>
      </c>
      <c r="J86" s="11" t="inlineStr">
        <is>
          <t>Rack selectivo para insumos y empaque</t>
        </is>
      </c>
      <c r="K86" s="11" t="inlineStr"/>
      <c r="L86" s="11" t="inlineStr"/>
      <c r="M86" s="11" t="inlineStr"/>
      <c r="N86" s="11" t="inlineStr"/>
      <c r="O86" s="11" t="inlineStr"/>
      <c r="P86" s="13" t="inlineStr">
        <is>
          <t>Abrir</t>
        </is>
      </c>
      <c r="Q86" s="13" t="inlineStr">
        <is>
          <t>Abrir</t>
        </is>
      </c>
      <c r="R86" s="11" t="inlineStr">
        <is>
          <t>Primicias: mayor venta de Napo</t>
        </is>
      </c>
      <c r="S86" s="11" t="inlineStr">
        <is>
          <t>Pendiente</t>
        </is>
      </c>
    </row>
    <row r="87">
      <c r="A87" s="11" t="inlineStr">
        <is>
          <t>P086</t>
        </is>
      </c>
      <c r="B87" s="14" t="inlineStr">
        <is>
          <t>B</t>
        </is>
      </c>
      <c r="C87" s="11" t="inlineStr">
        <is>
          <t>Amazonía</t>
        </is>
      </c>
      <c r="D87" s="11" t="inlineStr">
        <is>
          <t>Orellana</t>
        </is>
      </c>
      <c r="E87" s="11" t="inlineStr">
        <is>
          <t>Francisco de Orellana</t>
        </is>
      </c>
      <c r="F87" s="11" t="inlineStr">
        <is>
          <t>Sertecpet</t>
        </is>
      </c>
      <c r="G87" s="11" t="inlineStr">
        <is>
          <t>Servicios petroleros</t>
        </is>
      </c>
      <c r="H87" s="11" t="inlineStr">
        <is>
          <t>Minería, petróleo y energía</t>
        </is>
      </c>
      <c r="I87" s="11" t="inlineStr">
        <is>
          <t>Bodegas de repuestos y equipos</t>
        </is>
      </c>
      <c r="J87" s="11" t="inlineStr">
        <is>
          <t>Perchas para repuestos + rack selectivo</t>
        </is>
      </c>
      <c r="K87" s="13" t="inlineStr">
        <is>
          <t>https://www.sertecpet.com</t>
        </is>
      </c>
      <c r="L87" s="11" t="inlineStr"/>
      <c r="M87" s="11" t="inlineStr"/>
      <c r="N87" s="11" t="inlineStr"/>
      <c r="O87" s="11" t="inlineStr"/>
      <c r="P87" s="13" t="inlineStr">
        <is>
          <t>Abrir</t>
        </is>
      </c>
      <c r="Q87" s="13" t="inlineStr">
        <is>
          <t>Abrir</t>
        </is>
      </c>
      <c r="R87" s="11" t="inlineStr">
        <is>
          <t>Primicias: mayor venta de Orellana</t>
        </is>
      </c>
      <c r="S87" s="11" t="inlineStr">
        <is>
          <t>Pendiente</t>
        </is>
      </c>
    </row>
    <row r="88">
      <c r="A88" s="11" t="inlineStr">
        <is>
          <t>P087</t>
        </is>
      </c>
      <c r="B88" s="14" t="inlineStr">
        <is>
          <t>B</t>
        </is>
      </c>
      <c r="C88" s="11" t="inlineStr">
        <is>
          <t>Amazonía</t>
        </is>
      </c>
      <c r="D88" s="11" t="inlineStr">
        <is>
          <t>Pastaza</t>
        </is>
      </c>
      <c r="E88" s="11" t="inlineStr">
        <is>
          <t>Puyo</t>
        </is>
      </c>
      <c r="F88" s="11" t="inlineStr">
        <is>
          <t>Arboriente</t>
        </is>
      </c>
      <c r="G88" s="11" t="inlineStr">
        <is>
          <t>Manufactura contrachapados</t>
        </is>
      </c>
      <c r="H88" s="11" t="inlineStr">
        <is>
          <t>Manufactura</t>
        </is>
      </c>
      <c r="I88" s="11" t="inlineStr">
        <is>
          <t>Almacenaje de tableros</t>
        </is>
      </c>
      <c r="J88" s="11" t="inlineStr">
        <is>
          <t>Rack selectivo para materia prima y PT</t>
        </is>
      </c>
      <c r="K88" s="13" t="inlineStr">
        <is>
          <t>https://www.arboriente.com</t>
        </is>
      </c>
      <c r="L88" s="11" t="inlineStr"/>
      <c r="M88" s="11" t="inlineStr"/>
      <c r="N88" s="11" t="inlineStr"/>
      <c r="O88" s="11" t="inlineStr"/>
      <c r="P88" s="13" t="inlineStr">
        <is>
          <t>Abrir</t>
        </is>
      </c>
      <c r="Q88" s="13" t="inlineStr">
        <is>
          <t>Abrir</t>
        </is>
      </c>
      <c r="R88" s="11" t="inlineStr">
        <is>
          <t>Primicias: mayor venta de Pastaza 2023</t>
        </is>
      </c>
      <c r="S88" s="11" t="inlineStr">
        <is>
          <t>Pendiente</t>
        </is>
      </c>
    </row>
    <row r="89">
      <c r="A89" s="11" t="inlineStr">
        <is>
          <t>P088</t>
        </is>
      </c>
      <c r="B89" s="14" t="inlineStr">
        <is>
          <t>B</t>
        </is>
      </c>
      <c r="C89" s="11" t="inlineStr">
        <is>
          <t>Amazonía</t>
        </is>
      </c>
      <c r="D89" s="11" t="inlineStr">
        <is>
          <t>Pastaza</t>
        </is>
      </c>
      <c r="E89" s="11" t="inlineStr">
        <is>
          <t>Puyo</t>
        </is>
      </c>
      <c r="F89" s="11" t="inlineStr">
        <is>
          <t>Giufervy</t>
        </is>
      </c>
      <c r="G89" s="11" t="inlineStr">
        <is>
          <t>Materiales de construcción</t>
        </is>
      </c>
      <c r="H89" s="11" t="inlineStr">
        <is>
          <t>Ferretería, acero y construcción</t>
        </is>
      </c>
      <c r="I89" s="11" t="inlineStr">
        <is>
          <t>Bodegas de materiales</t>
        </is>
      </c>
      <c r="J89" s="11" t="inlineStr">
        <is>
          <t>Rack selectivo + rack para perfiles largos (consultar)</t>
        </is>
      </c>
      <c r="K89" s="11" t="inlineStr"/>
      <c r="L89" s="11" t="inlineStr"/>
      <c r="M89" s="11" t="inlineStr"/>
      <c r="N89" s="11" t="inlineStr"/>
      <c r="O89" s="11" t="inlineStr"/>
      <c r="P89" s="13" t="inlineStr">
        <is>
          <t>Abrir</t>
        </is>
      </c>
      <c r="Q89" s="13" t="inlineStr">
        <is>
          <t>Abrir</t>
        </is>
      </c>
      <c r="R89" s="11" t="inlineStr">
        <is>
          <t>Primicias: top Pastaza</t>
        </is>
      </c>
      <c r="S89" s="11" t="inlineStr">
        <is>
          <t>Pendiente</t>
        </is>
      </c>
    </row>
    <row r="90">
      <c r="A90" s="11" t="inlineStr">
        <is>
          <t>P089</t>
        </is>
      </c>
      <c r="B90" s="14" t="inlineStr">
        <is>
          <t>B</t>
        </is>
      </c>
      <c r="C90" s="11" t="inlineStr">
        <is>
          <t>Amazonía</t>
        </is>
      </c>
      <c r="D90" s="11" t="inlineStr">
        <is>
          <t>Zamora Chinchipe</t>
        </is>
      </c>
      <c r="E90" s="11" t="inlineStr">
        <is>
          <t>Yantzaza</t>
        </is>
      </c>
      <c r="F90" s="11" t="inlineStr">
        <is>
          <t>Lundin Gold (Fruta del Norte)</t>
        </is>
      </c>
      <c r="G90" s="11" t="inlineStr">
        <is>
          <t>Minería</t>
        </is>
      </c>
      <c r="H90" s="11" t="inlineStr">
        <is>
          <t>Minería, petróleo y energía</t>
        </is>
      </c>
      <c r="I90" s="11" t="inlineStr">
        <is>
          <t>Bodegas de repuestos e insumos mineros</t>
        </is>
      </c>
      <c r="J90" s="11" t="inlineStr">
        <is>
          <t>Perchas para repuestos + rack selectivo</t>
        </is>
      </c>
      <c r="K90" s="13" t="inlineStr">
        <is>
          <t>https://www.lundingold.com</t>
        </is>
      </c>
      <c r="L90" s="11" t="inlineStr"/>
      <c r="M90" s="11" t="inlineStr"/>
      <c r="N90" s="11" t="inlineStr"/>
      <c r="O90" s="11" t="inlineStr"/>
      <c r="P90" s="13" t="inlineStr">
        <is>
          <t>Abrir</t>
        </is>
      </c>
      <c r="Q90" s="13" t="inlineStr">
        <is>
          <t>Abrir</t>
        </is>
      </c>
      <c r="R90" s="11" t="inlineStr">
        <is>
          <t>Web oficial</t>
        </is>
      </c>
      <c r="S90" s="11" t="inlineStr">
        <is>
          <t>Pendiente</t>
        </is>
      </c>
    </row>
    <row r="91">
      <c r="A91" s="11" t="inlineStr">
        <is>
          <t>P090</t>
        </is>
      </c>
      <c r="B91" s="15" t="inlineStr">
        <is>
          <t>C</t>
        </is>
      </c>
      <c r="C91" s="11" t="inlineStr">
        <is>
          <t>Costa</t>
        </is>
      </c>
      <c r="D91" s="11" t="inlineStr">
        <is>
          <t>Santa Elena</t>
        </is>
      </c>
      <c r="E91" s="11" t="inlineStr">
        <is>
          <t>Santa Elena</t>
        </is>
      </c>
      <c r="F91" s="11" t="inlineStr">
        <is>
          <t>Cvialco</t>
        </is>
      </c>
      <c r="G91" s="11" t="inlineStr">
        <is>
          <t>Construcción vial</t>
        </is>
      </c>
      <c r="H91" s="11" t="inlineStr">
        <is>
          <t>Ferretería, acero y construcción</t>
        </is>
      </c>
      <c r="I91" s="11" t="inlineStr">
        <is>
          <t>Bodegas de repuestos</t>
        </is>
      </c>
      <c r="J91" s="11" t="inlineStr">
        <is>
          <t>Rack selectivo + rack para perfiles largos (consultar)</t>
        </is>
      </c>
      <c r="K91" s="11" t="inlineStr"/>
      <c r="L91" s="11" t="inlineStr"/>
      <c r="M91" s="11" t="inlineStr"/>
      <c r="N91" s="11" t="inlineStr"/>
      <c r="O91" s="11" t="inlineStr"/>
      <c r="P91" s="13" t="inlineStr">
        <is>
          <t>Abrir</t>
        </is>
      </c>
      <c r="Q91" s="13" t="inlineStr">
        <is>
          <t>Abrir</t>
        </is>
      </c>
      <c r="R91" s="11" t="inlineStr">
        <is>
          <t>Primicias: mayor venta de Santa Elena</t>
        </is>
      </c>
      <c r="S91" s="11" t="inlineStr">
        <is>
          <t>Pendiente</t>
        </is>
      </c>
    </row>
    <row r="92">
      <c r="A92" s="11" t="inlineStr">
        <is>
          <t>P091</t>
        </is>
      </c>
      <c r="B92" s="15" t="inlineStr">
        <is>
          <t>C</t>
        </is>
      </c>
      <c r="C92" s="11" t="inlineStr">
        <is>
          <t>Costa</t>
        </is>
      </c>
      <c r="D92" s="11" t="inlineStr">
        <is>
          <t>Santo Domingo</t>
        </is>
      </c>
      <c r="E92" s="11" t="inlineStr">
        <is>
          <t>Santo Domingo</t>
        </is>
      </c>
      <c r="F92" s="11" t="inlineStr">
        <is>
          <t>Petrolríos</t>
        </is>
      </c>
      <c r="G92" s="11" t="inlineStr">
        <is>
          <t>Combustibles / distribución</t>
        </is>
      </c>
      <c r="H92" s="11" t="inlineStr">
        <is>
          <t>Minería, petróleo y energía</t>
        </is>
      </c>
      <c r="I92" s="11" t="inlineStr">
        <is>
          <t>Bodegas de lubricantes e insumos</t>
        </is>
      </c>
      <c r="J92" s="11" t="inlineStr">
        <is>
          <t>Perchas para repuestos + rack selectivo</t>
        </is>
      </c>
      <c r="K92" s="13" t="inlineStr">
        <is>
          <t>https://www.petrolrios.com</t>
        </is>
      </c>
      <c r="L92" s="11" t="inlineStr"/>
      <c r="M92" s="11" t="inlineStr"/>
      <c r="N92" s="11" t="inlineStr"/>
      <c r="O92" s="11" t="inlineStr"/>
      <c r="P92" s="13" t="inlineStr">
        <is>
          <t>Abrir</t>
        </is>
      </c>
      <c r="Q92" s="13" t="inlineStr">
        <is>
          <t>Abrir</t>
        </is>
      </c>
      <c r="R92" s="11" t="inlineStr">
        <is>
          <t>Primicias: mayor venta de Santo Domingo</t>
        </is>
      </c>
      <c r="S92" s="11" t="inlineStr">
        <is>
          <t>Pendiente</t>
        </is>
      </c>
    </row>
    <row r="93">
      <c r="A93" s="11" t="inlineStr">
        <is>
          <t>P092</t>
        </is>
      </c>
      <c r="B93" s="15" t="inlineStr">
        <is>
          <t>C</t>
        </is>
      </c>
      <c r="C93" s="11" t="inlineStr">
        <is>
          <t>Amazonía</t>
        </is>
      </c>
      <c r="D93" s="11" t="inlineStr">
        <is>
          <t>Morona Santiago</t>
        </is>
      </c>
      <c r="E93" s="11" t="inlineStr">
        <is>
          <t>Macas</t>
        </is>
      </c>
      <c r="F93" s="11" t="inlineStr">
        <is>
          <t>Hidronormandía</t>
        </is>
      </c>
      <c r="G93" s="11" t="inlineStr">
        <is>
          <t>Energía</t>
        </is>
      </c>
      <c r="H93" s="11" t="inlineStr">
        <is>
          <t>Minería, petróleo y energía</t>
        </is>
      </c>
      <c r="I93" s="11" t="inlineStr">
        <is>
          <t>Bodega de repuestos de planta</t>
        </is>
      </c>
      <c r="J93" s="11" t="inlineStr">
        <is>
          <t>Perchas para repuestos + rack selectivo</t>
        </is>
      </c>
      <c r="K93" s="11" t="inlineStr"/>
      <c r="L93" s="11" t="inlineStr"/>
      <c r="M93" s="11" t="inlineStr"/>
      <c r="N93" s="11" t="inlineStr"/>
      <c r="O93" s="11" t="inlineStr"/>
      <c r="P93" s="13" t="inlineStr">
        <is>
          <t>Abrir</t>
        </is>
      </c>
      <c r="Q93" s="13" t="inlineStr">
        <is>
          <t>Abrir</t>
        </is>
      </c>
      <c r="R93" s="11" t="inlineStr">
        <is>
          <t>Primicias: mayor venta de Morona Santiago</t>
        </is>
      </c>
      <c r="S93" s="11" t="inlineStr">
        <is>
          <t>Pendiente</t>
        </is>
      </c>
    </row>
    <row r="94">
      <c r="A94" s="11" t="inlineStr">
        <is>
          <t>P093</t>
        </is>
      </c>
      <c r="B94" s="15" t="inlineStr">
        <is>
          <t>C</t>
        </is>
      </c>
      <c r="C94" s="11" t="inlineStr">
        <is>
          <t>Insular</t>
        </is>
      </c>
      <c r="D94" s="11" t="inlineStr">
        <is>
          <t>Galápagos</t>
        </is>
      </c>
      <c r="E94" s="11" t="inlineStr">
        <is>
          <t>Puerto Ayora</t>
        </is>
      </c>
      <c r="F94" s="11" t="inlineStr">
        <is>
          <t>Etica (Grupo Futuro)</t>
        </is>
      </c>
      <c r="G94" s="11" t="inlineStr">
        <is>
          <t>Turismo</t>
        </is>
      </c>
      <c r="H94" s="11" t="inlineStr">
        <is>
          <t>Manufactura</t>
        </is>
      </c>
      <c r="I94" s="11" t="inlineStr">
        <is>
          <t>Bodega de suministros</t>
        </is>
      </c>
      <c r="J94" s="11" t="inlineStr">
        <is>
          <t>Rack selectivo para materia prima y PT</t>
        </is>
      </c>
      <c r="K94" s="11" t="inlineStr"/>
      <c r="L94" s="11" t="inlineStr"/>
      <c r="M94" s="11" t="inlineStr"/>
      <c r="N94" s="11" t="inlineStr"/>
      <c r="O94" s="11" t="inlineStr"/>
      <c r="P94" s="13" t="inlineStr">
        <is>
          <t>Abrir</t>
        </is>
      </c>
      <c r="Q94" s="13" t="inlineStr">
        <is>
          <t>Abrir</t>
        </is>
      </c>
      <c r="R94" s="11" t="inlineStr">
        <is>
          <t>Primicias: mayor venta de Galápagos</t>
        </is>
      </c>
      <c r="S94" s="11" t="inlineStr">
        <is>
          <t>Pendiente</t>
        </is>
      </c>
    </row>
  </sheetData>
  <autoFilter ref="A1:S94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K3" r:id="rId3"/>
    <hyperlink xmlns:r="http://schemas.openxmlformats.org/officeDocument/2006/relationships" ref="N3" r:id="rId4"/>
    <hyperlink xmlns:r="http://schemas.openxmlformats.org/officeDocument/2006/relationships" ref="P3" r:id="rId5"/>
    <hyperlink xmlns:r="http://schemas.openxmlformats.org/officeDocument/2006/relationships" ref="Q3" r:id="rId6"/>
    <hyperlink xmlns:r="http://schemas.openxmlformats.org/officeDocument/2006/relationships" ref="K4" r:id="rId7"/>
    <hyperlink xmlns:r="http://schemas.openxmlformats.org/officeDocument/2006/relationships" ref="P4" r:id="rId8"/>
    <hyperlink xmlns:r="http://schemas.openxmlformats.org/officeDocument/2006/relationships" ref="Q4" r:id="rId9"/>
    <hyperlink xmlns:r="http://schemas.openxmlformats.org/officeDocument/2006/relationships" ref="K5" r:id="rId10"/>
    <hyperlink xmlns:r="http://schemas.openxmlformats.org/officeDocument/2006/relationships" ref="P5" r:id="rId11"/>
    <hyperlink xmlns:r="http://schemas.openxmlformats.org/officeDocument/2006/relationships" ref="Q5" r:id="rId12"/>
    <hyperlink xmlns:r="http://schemas.openxmlformats.org/officeDocument/2006/relationships" ref="K6" r:id="rId13"/>
    <hyperlink xmlns:r="http://schemas.openxmlformats.org/officeDocument/2006/relationships" ref="N6" r:id="rId14"/>
    <hyperlink xmlns:r="http://schemas.openxmlformats.org/officeDocument/2006/relationships" ref="P6" r:id="rId15"/>
    <hyperlink xmlns:r="http://schemas.openxmlformats.org/officeDocument/2006/relationships" ref="Q6" r:id="rId16"/>
    <hyperlink xmlns:r="http://schemas.openxmlformats.org/officeDocument/2006/relationships" ref="K7" r:id="rId17"/>
    <hyperlink xmlns:r="http://schemas.openxmlformats.org/officeDocument/2006/relationships" ref="N7" r:id="rId18"/>
    <hyperlink xmlns:r="http://schemas.openxmlformats.org/officeDocument/2006/relationships" ref="P7" r:id="rId19"/>
    <hyperlink xmlns:r="http://schemas.openxmlformats.org/officeDocument/2006/relationships" ref="Q7" r:id="rId20"/>
    <hyperlink xmlns:r="http://schemas.openxmlformats.org/officeDocument/2006/relationships" ref="K8" r:id="rId21"/>
    <hyperlink xmlns:r="http://schemas.openxmlformats.org/officeDocument/2006/relationships" ref="P8" r:id="rId22"/>
    <hyperlink xmlns:r="http://schemas.openxmlformats.org/officeDocument/2006/relationships" ref="Q8" r:id="rId23"/>
    <hyperlink xmlns:r="http://schemas.openxmlformats.org/officeDocument/2006/relationships" ref="K9" r:id="rId24"/>
    <hyperlink xmlns:r="http://schemas.openxmlformats.org/officeDocument/2006/relationships" ref="P9" r:id="rId25"/>
    <hyperlink xmlns:r="http://schemas.openxmlformats.org/officeDocument/2006/relationships" ref="Q9" r:id="rId26"/>
    <hyperlink xmlns:r="http://schemas.openxmlformats.org/officeDocument/2006/relationships" ref="K10" r:id="rId27"/>
    <hyperlink xmlns:r="http://schemas.openxmlformats.org/officeDocument/2006/relationships" ref="P10" r:id="rId28"/>
    <hyperlink xmlns:r="http://schemas.openxmlformats.org/officeDocument/2006/relationships" ref="Q10" r:id="rId29"/>
    <hyperlink xmlns:r="http://schemas.openxmlformats.org/officeDocument/2006/relationships" ref="K11" r:id="rId30"/>
    <hyperlink xmlns:r="http://schemas.openxmlformats.org/officeDocument/2006/relationships" ref="N11" r:id="rId31"/>
    <hyperlink xmlns:r="http://schemas.openxmlformats.org/officeDocument/2006/relationships" ref="P11" r:id="rId32"/>
    <hyperlink xmlns:r="http://schemas.openxmlformats.org/officeDocument/2006/relationships" ref="Q11" r:id="rId33"/>
    <hyperlink xmlns:r="http://schemas.openxmlformats.org/officeDocument/2006/relationships" ref="K12" r:id="rId34"/>
    <hyperlink xmlns:r="http://schemas.openxmlformats.org/officeDocument/2006/relationships" ref="P12" r:id="rId35"/>
    <hyperlink xmlns:r="http://schemas.openxmlformats.org/officeDocument/2006/relationships" ref="Q12" r:id="rId36"/>
    <hyperlink xmlns:r="http://schemas.openxmlformats.org/officeDocument/2006/relationships" ref="K13" r:id="rId37"/>
    <hyperlink xmlns:r="http://schemas.openxmlformats.org/officeDocument/2006/relationships" ref="P13" r:id="rId38"/>
    <hyperlink xmlns:r="http://schemas.openxmlformats.org/officeDocument/2006/relationships" ref="Q13" r:id="rId39"/>
    <hyperlink xmlns:r="http://schemas.openxmlformats.org/officeDocument/2006/relationships" ref="K14" r:id="rId40"/>
    <hyperlink xmlns:r="http://schemas.openxmlformats.org/officeDocument/2006/relationships" ref="N14" r:id="rId41"/>
    <hyperlink xmlns:r="http://schemas.openxmlformats.org/officeDocument/2006/relationships" ref="P14" r:id="rId42"/>
    <hyperlink xmlns:r="http://schemas.openxmlformats.org/officeDocument/2006/relationships" ref="Q14" r:id="rId43"/>
    <hyperlink xmlns:r="http://schemas.openxmlformats.org/officeDocument/2006/relationships" ref="K15" r:id="rId44"/>
    <hyperlink xmlns:r="http://schemas.openxmlformats.org/officeDocument/2006/relationships" ref="P15" r:id="rId45"/>
    <hyperlink xmlns:r="http://schemas.openxmlformats.org/officeDocument/2006/relationships" ref="Q15" r:id="rId46"/>
    <hyperlink xmlns:r="http://schemas.openxmlformats.org/officeDocument/2006/relationships" ref="K16" r:id="rId47"/>
    <hyperlink xmlns:r="http://schemas.openxmlformats.org/officeDocument/2006/relationships" ref="N16" r:id="rId48"/>
    <hyperlink xmlns:r="http://schemas.openxmlformats.org/officeDocument/2006/relationships" ref="P16" r:id="rId49"/>
    <hyperlink xmlns:r="http://schemas.openxmlformats.org/officeDocument/2006/relationships" ref="Q16" r:id="rId50"/>
    <hyperlink xmlns:r="http://schemas.openxmlformats.org/officeDocument/2006/relationships" ref="K17" r:id="rId51"/>
    <hyperlink xmlns:r="http://schemas.openxmlformats.org/officeDocument/2006/relationships" ref="N17" r:id="rId52"/>
    <hyperlink xmlns:r="http://schemas.openxmlformats.org/officeDocument/2006/relationships" ref="P17" r:id="rId53"/>
    <hyperlink xmlns:r="http://schemas.openxmlformats.org/officeDocument/2006/relationships" ref="Q17" r:id="rId54"/>
    <hyperlink xmlns:r="http://schemas.openxmlformats.org/officeDocument/2006/relationships" ref="K18" r:id="rId55"/>
    <hyperlink xmlns:r="http://schemas.openxmlformats.org/officeDocument/2006/relationships" ref="P18" r:id="rId56"/>
    <hyperlink xmlns:r="http://schemas.openxmlformats.org/officeDocument/2006/relationships" ref="Q18" r:id="rId57"/>
    <hyperlink xmlns:r="http://schemas.openxmlformats.org/officeDocument/2006/relationships" ref="P19" r:id="rId58"/>
    <hyperlink xmlns:r="http://schemas.openxmlformats.org/officeDocument/2006/relationships" ref="Q19" r:id="rId59"/>
    <hyperlink xmlns:r="http://schemas.openxmlformats.org/officeDocument/2006/relationships" ref="K20" r:id="rId60"/>
    <hyperlink xmlns:r="http://schemas.openxmlformats.org/officeDocument/2006/relationships" ref="N20" r:id="rId61"/>
    <hyperlink xmlns:r="http://schemas.openxmlformats.org/officeDocument/2006/relationships" ref="P20" r:id="rId62"/>
    <hyperlink xmlns:r="http://schemas.openxmlformats.org/officeDocument/2006/relationships" ref="Q20" r:id="rId63"/>
    <hyperlink xmlns:r="http://schemas.openxmlformats.org/officeDocument/2006/relationships" ref="K21" r:id="rId64"/>
    <hyperlink xmlns:r="http://schemas.openxmlformats.org/officeDocument/2006/relationships" ref="P21" r:id="rId65"/>
    <hyperlink xmlns:r="http://schemas.openxmlformats.org/officeDocument/2006/relationships" ref="Q21" r:id="rId66"/>
    <hyperlink xmlns:r="http://schemas.openxmlformats.org/officeDocument/2006/relationships" ref="K22" r:id="rId67"/>
    <hyperlink xmlns:r="http://schemas.openxmlformats.org/officeDocument/2006/relationships" ref="P22" r:id="rId68"/>
    <hyperlink xmlns:r="http://schemas.openxmlformats.org/officeDocument/2006/relationships" ref="Q22" r:id="rId69"/>
    <hyperlink xmlns:r="http://schemas.openxmlformats.org/officeDocument/2006/relationships" ref="K23" r:id="rId70"/>
    <hyperlink xmlns:r="http://schemas.openxmlformats.org/officeDocument/2006/relationships" ref="P23" r:id="rId71"/>
    <hyperlink xmlns:r="http://schemas.openxmlformats.org/officeDocument/2006/relationships" ref="Q23" r:id="rId72"/>
    <hyperlink xmlns:r="http://schemas.openxmlformats.org/officeDocument/2006/relationships" ref="K24" r:id="rId73"/>
    <hyperlink xmlns:r="http://schemas.openxmlformats.org/officeDocument/2006/relationships" ref="P24" r:id="rId74"/>
    <hyperlink xmlns:r="http://schemas.openxmlformats.org/officeDocument/2006/relationships" ref="Q24" r:id="rId75"/>
    <hyperlink xmlns:r="http://schemas.openxmlformats.org/officeDocument/2006/relationships" ref="K25" r:id="rId76"/>
    <hyperlink xmlns:r="http://schemas.openxmlformats.org/officeDocument/2006/relationships" ref="P25" r:id="rId77"/>
    <hyperlink xmlns:r="http://schemas.openxmlformats.org/officeDocument/2006/relationships" ref="Q25" r:id="rId78"/>
    <hyperlink xmlns:r="http://schemas.openxmlformats.org/officeDocument/2006/relationships" ref="K26" r:id="rId79"/>
    <hyperlink xmlns:r="http://schemas.openxmlformats.org/officeDocument/2006/relationships" ref="P26" r:id="rId80"/>
    <hyperlink xmlns:r="http://schemas.openxmlformats.org/officeDocument/2006/relationships" ref="Q26" r:id="rId81"/>
    <hyperlink xmlns:r="http://schemas.openxmlformats.org/officeDocument/2006/relationships" ref="K27" r:id="rId82"/>
    <hyperlink xmlns:r="http://schemas.openxmlformats.org/officeDocument/2006/relationships" ref="N27" r:id="rId83"/>
    <hyperlink xmlns:r="http://schemas.openxmlformats.org/officeDocument/2006/relationships" ref="P27" r:id="rId84"/>
    <hyperlink xmlns:r="http://schemas.openxmlformats.org/officeDocument/2006/relationships" ref="Q27" r:id="rId85"/>
    <hyperlink xmlns:r="http://schemas.openxmlformats.org/officeDocument/2006/relationships" ref="K28" r:id="rId86"/>
    <hyperlink xmlns:r="http://schemas.openxmlformats.org/officeDocument/2006/relationships" ref="N28" r:id="rId87"/>
    <hyperlink xmlns:r="http://schemas.openxmlformats.org/officeDocument/2006/relationships" ref="P28" r:id="rId88"/>
    <hyperlink xmlns:r="http://schemas.openxmlformats.org/officeDocument/2006/relationships" ref="Q28" r:id="rId89"/>
    <hyperlink xmlns:r="http://schemas.openxmlformats.org/officeDocument/2006/relationships" ref="K29" r:id="rId90"/>
    <hyperlink xmlns:r="http://schemas.openxmlformats.org/officeDocument/2006/relationships" ref="P29" r:id="rId91"/>
    <hyperlink xmlns:r="http://schemas.openxmlformats.org/officeDocument/2006/relationships" ref="Q29" r:id="rId92"/>
    <hyperlink xmlns:r="http://schemas.openxmlformats.org/officeDocument/2006/relationships" ref="K30" r:id="rId93"/>
    <hyperlink xmlns:r="http://schemas.openxmlformats.org/officeDocument/2006/relationships" ref="N30" r:id="rId94"/>
    <hyperlink xmlns:r="http://schemas.openxmlformats.org/officeDocument/2006/relationships" ref="P30" r:id="rId95"/>
    <hyperlink xmlns:r="http://schemas.openxmlformats.org/officeDocument/2006/relationships" ref="Q30" r:id="rId96"/>
    <hyperlink xmlns:r="http://schemas.openxmlformats.org/officeDocument/2006/relationships" ref="K31" r:id="rId97"/>
    <hyperlink xmlns:r="http://schemas.openxmlformats.org/officeDocument/2006/relationships" ref="P31" r:id="rId98"/>
    <hyperlink xmlns:r="http://schemas.openxmlformats.org/officeDocument/2006/relationships" ref="Q31" r:id="rId99"/>
    <hyperlink xmlns:r="http://schemas.openxmlformats.org/officeDocument/2006/relationships" ref="P32" r:id="rId100"/>
    <hyperlink xmlns:r="http://schemas.openxmlformats.org/officeDocument/2006/relationships" ref="Q32" r:id="rId101"/>
    <hyperlink xmlns:r="http://schemas.openxmlformats.org/officeDocument/2006/relationships" ref="K33" r:id="rId102"/>
    <hyperlink xmlns:r="http://schemas.openxmlformats.org/officeDocument/2006/relationships" ref="P33" r:id="rId103"/>
    <hyperlink xmlns:r="http://schemas.openxmlformats.org/officeDocument/2006/relationships" ref="Q33" r:id="rId104"/>
    <hyperlink xmlns:r="http://schemas.openxmlformats.org/officeDocument/2006/relationships" ref="P34" r:id="rId105"/>
    <hyperlink xmlns:r="http://schemas.openxmlformats.org/officeDocument/2006/relationships" ref="Q34" r:id="rId106"/>
    <hyperlink xmlns:r="http://schemas.openxmlformats.org/officeDocument/2006/relationships" ref="K35" r:id="rId107"/>
    <hyperlink xmlns:r="http://schemas.openxmlformats.org/officeDocument/2006/relationships" ref="P35" r:id="rId108"/>
    <hyperlink xmlns:r="http://schemas.openxmlformats.org/officeDocument/2006/relationships" ref="Q35" r:id="rId109"/>
    <hyperlink xmlns:r="http://schemas.openxmlformats.org/officeDocument/2006/relationships" ref="K36" r:id="rId110"/>
    <hyperlink xmlns:r="http://schemas.openxmlformats.org/officeDocument/2006/relationships" ref="P36" r:id="rId111"/>
    <hyperlink xmlns:r="http://schemas.openxmlformats.org/officeDocument/2006/relationships" ref="Q36" r:id="rId112"/>
    <hyperlink xmlns:r="http://schemas.openxmlformats.org/officeDocument/2006/relationships" ref="K37" r:id="rId113"/>
    <hyperlink xmlns:r="http://schemas.openxmlformats.org/officeDocument/2006/relationships" ref="P37" r:id="rId114"/>
    <hyperlink xmlns:r="http://schemas.openxmlformats.org/officeDocument/2006/relationships" ref="Q37" r:id="rId115"/>
    <hyperlink xmlns:r="http://schemas.openxmlformats.org/officeDocument/2006/relationships" ref="K38" r:id="rId116"/>
    <hyperlink xmlns:r="http://schemas.openxmlformats.org/officeDocument/2006/relationships" ref="P38" r:id="rId117"/>
    <hyperlink xmlns:r="http://schemas.openxmlformats.org/officeDocument/2006/relationships" ref="Q38" r:id="rId118"/>
    <hyperlink xmlns:r="http://schemas.openxmlformats.org/officeDocument/2006/relationships" ref="K39" r:id="rId119"/>
    <hyperlink xmlns:r="http://schemas.openxmlformats.org/officeDocument/2006/relationships" ref="P39" r:id="rId120"/>
    <hyperlink xmlns:r="http://schemas.openxmlformats.org/officeDocument/2006/relationships" ref="Q39" r:id="rId121"/>
    <hyperlink xmlns:r="http://schemas.openxmlformats.org/officeDocument/2006/relationships" ref="K40" r:id="rId122"/>
    <hyperlink xmlns:r="http://schemas.openxmlformats.org/officeDocument/2006/relationships" ref="P40" r:id="rId123"/>
    <hyperlink xmlns:r="http://schemas.openxmlformats.org/officeDocument/2006/relationships" ref="Q40" r:id="rId124"/>
    <hyperlink xmlns:r="http://schemas.openxmlformats.org/officeDocument/2006/relationships" ref="K41" r:id="rId125"/>
    <hyperlink xmlns:r="http://schemas.openxmlformats.org/officeDocument/2006/relationships" ref="P41" r:id="rId126"/>
    <hyperlink xmlns:r="http://schemas.openxmlformats.org/officeDocument/2006/relationships" ref="Q41" r:id="rId127"/>
    <hyperlink xmlns:r="http://schemas.openxmlformats.org/officeDocument/2006/relationships" ref="K42" r:id="rId128"/>
    <hyperlink xmlns:r="http://schemas.openxmlformats.org/officeDocument/2006/relationships" ref="P42" r:id="rId129"/>
    <hyperlink xmlns:r="http://schemas.openxmlformats.org/officeDocument/2006/relationships" ref="Q42" r:id="rId130"/>
    <hyperlink xmlns:r="http://schemas.openxmlformats.org/officeDocument/2006/relationships" ref="K43" r:id="rId131"/>
    <hyperlink xmlns:r="http://schemas.openxmlformats.org/officeDocument/2006/relationships" ref="P43" r:id="rId132"/>
    <hyperlink xmlns:r="http://schemas.openxmlformats.org/officeDocument/2006/relationships" ref="Q43" r:id="rId133"/>
    <hyperlink xmlns:r="http://schemas.openxmlformats.org/officeDocument/2006/relationships" ref="K44" r:id="rId134"/>
    <hyperlink xmlns:r="http://schemas.openxmlformats.org/officeDocument/2006/relationships" ref="P44" r:id="rId135"/>
    <hyperlink xmlns:r="http://schemas.openxmlformats.org/officeDocument/2006/relationships" ref="Q44" r:id="rId136"/>
    <hyperlink xmlns:r="http://schemas.openxmlformats.org/officeDocument/2006/relationships" ref="K45" r:id="rId137"/>
    <hyperlink xmlns:r="http://schemas.openxmlformats.org/officeDocument/2006/relationships" ref="P45" r:id="rId138"/>
    <hyperlink xmlns:r="http://schemas.openxmlformats.org/officeDocument/2006/relationships" ref="Q45" r:id="rId139"/>
    <hyperlink xmlns:r="http://schemas.openxmlformats.org/officeDocument/2006/relationships" ref="K46" r:id="rId140"/>
    <hyperlink xmlns:r="http://schemas.openxmlformats.org/officeDocument/2006/relationships" ref="P46" r:id="rId141"/>
    <hyperlink xmlns:r="http://schemas.openxmlformats.org/officeDocument/2006/relationships" ref="Q46" r:id="rId142"/>
    <hyperlink xmlns:r="http://schemas.openxmlformats.org/officeDocument/2006/relationships" ref="K47" r:id="rId143"/>
    <hyperlink xmlns:r="http://schemas.openxmlformats.org/officeDocument/2006/relationships" ref="P47" r:id="rId144"/>
    <hyperlink xmlns:r="http://schemas.openxmlformats.org/officeDocument/2006/relationships" ref="Q47" r:id="rId145"/>
    <hyperlink xmlns:r="http://schemas.openxmlformats.org/officeDocument/2006/relationships" ref="K48" r:id="rId146"/>
    <hyperlink xmlns:r="http://schemas.openxmlformats.org/officeDocument/2006/relationships" ref="P48" r:id="rId147"/>
    <hyperlink xmlns:r="http://schemas.openxmlformats.org/officeDocument/2006/relationships" ref="Q48" r:id="rId148"/>
    <hyperlink xmlns:r="http://schemas.openxmlformats.org/officeDocument/2006/relationships" ref="K49" r:id="rId149"/>
    <hyperlink xmlns:r="http://schemas.openxmlformats.org/officeDocument/2006/relationships" ref="P49" r:id="rId150"/>
    <hyperlink xmlns:r="http://schemas.openxmlformats.org/officeDocument/2006/relationships" ref="Q49" r:id="rId151"/>
    <hyperlink xmlns:r="http://schemas.openxmlformats.org/officeDocument/2006/relationships" ref="K50" r:id="rId152"/>
    <hyperlink xmlns:r="http://schemas.openxmlformats.org/officeDocument/2006/relationships" ref="P50" r:id="rId153"/>
    <hyperlink xmlns:r="http://schemas.openxmlformats.org/officeDocument/2006/relationships" ref="Q50" r:id="rId154"/>
    <hyperlink xmlns:r="http://schemas.openxmlformats.org/officeDocument/2006/relationships" ref="K51" r:id="rId155"/>
    <hyperlink xmlns:r="http://schemas.openxmlformats.org/officeDocument/2006/relationships" ref="P51" r:id="rId156"/>
    <hyperlink xmlns:r="http://schemas.openxmlformats.org/officeDocument/2006/relationships" ref="Q51" r:id="rId157"/>
    <hyperlink xmlns:r="http://schemas.openxmlformats.org/officeDocument/2006/relationships" ref="P52" r:id="rId158"/>
    <hyperlink xmlns:r="http://schemas.openxmlformats.org/officeDocument/2006/relationships" ref="Q52" r:id="rId159"/>
    <hyperlink xmlns:r="http://schemas.openxmlformats.org/officeDocument/2006/relationships" ref="K53" r:id="rId160"/>
    <hyperlink xmlns:r="http://schemas.openxmlformats.org/officeDocument/2006/relationships" ref="P53" r:id="rId161"/>
    <hyperlink xmlns:r="http://schemas.openxmlformats.org/officeDocument/2006/relationships" ref="Q53" r:id="rId162"/>
    <hyperlink xmlns:r="http://schemas.openxmlformats.org/officeDocument/2006/relationships" ref="K54" r:id="rId163"/>
    <hyperlink xmlns:r="http://schemas.openxmlformats.org/officeDocument/2006/relationships" ref="P54" r:id="rId164"/>
    <hyperlink xmlns:r="http://schemas.openxmlformats.org/officeDocument/2006/relationships" ref="Q54" r:id="rId165"/>
    <hyperlink xmlns:r="http://schemas.openxmlformats.org/officeDocument/2006/relationships" ref="K55" r:id="rId166"/>
    <hyperlink xmlns:r="http://schemas.openxmlformats.org/officeDocument/2006/relationships" ref="P55" r:id="rId167"/>
    <hyperlink xmlns:r="http://schemas.openxmlformats.org/officeDocument/2006/relationships" ref="Q55" r:id="rId168"/>
    <hyperlink xmlns:r="http://schemas.openxmlformats.org/officeDocument/2006/relationships" ref="K56" r:id="rId169"/>
    <hyperlink xmlns:r="http://schemas.openxmlformats.org/officeDocument/2006/relationships" ref="P56" r:id="rId170"/>
    <hyperlink xmlns:r="http://schemas.openxmlformats.org/officeDocument/2006/relationships" ref="Q56" r:id="rId171"/>
    <hyperlink xmlns:r="http://schemas.openxmlformats.org/officeDocument/2006/relationships" ref="K57" r:id="rId172"/>
    <hyperlink xmlns:r="http://schemas.openxmlformats.org/officeDocument/2006/relationships" ref="P57" r:id="rId173"/>
    <hyperlink xmlns:r="http://schemas.openxmlformats.org/officeDocument/2006/relationships" ref="Q57" r:id="rId174"/>
    <hyperlink xmlns:r="http://schemas.openxmlformats.org/officeDocument/2006/relationships" ref="K58" r:id="rId175"/>
    <hyperlink xmlns:r="http://schemas.openxmlformats.org/officeDocument/2006/relationships" ref="P58" r:id="rId176"/>
    <hyperlink xmlns:r="http://schemas.openxmlformats.org/officeDocument/2006/relationships" ref="Q58" r:id="rId177"/>
    <hyperlink xmlns:r="http://schemas.openxmlformats.org/officeDocument/2006/relationships" ref="K59" r:id="rId178"/>
    <hyperlink xmlns:r="http://schemas.openxmlformats.org/officeDocument/2006/relationships" ref="P59" r:id="rId179"/>
    <hyperlink xmlns:r="http://schemas.openxmlformats.org/officeDocument/2006/relationships" ref="Q59" r:id="rId180"/>
    <hyperlink xmlns:r="http://schemas.openxmlformats.org/officeDocument/2006/relationships" ref="K60" r:id="rId181"/>
    <hyperlink xmlns:r="http://schemas.openxmlformats.org/officeDocument/2006/relationships" ref="P60" r:id="rId182"/>
    <hyperlink xmlns:r="http://schemas.openxmlformats.org/officeDocument/2006/relationships" ref="Q60" r:id="rId183"/>
    <hyperlink xmlns:r="http://schemas.openxmlformats.org/officeDocument/2006/relationships" ref="K61" r:id="rId184"/>
    <hyperlink xmlns:r="http://schemas.openxmlformats.org/officeDocument/2006/relationships" ref="P61" r:id="rId185"/>
    <hyperlink xmlns:r="http://schemas.openxmlformats.org/officeDocument/2006/relationships" ref="Q61" r:id="rId186"/>
    <hyperlink xmlns:r="http://schemas.openxmlformats.org/officeDocument/2006/relationships" ref="K62" r:id="rId187"/>
    <hyperlink xmlns:r="http://schemas.openxmlformats.org/officeDocument/2006/relationships" ref="P62" r:id="rId188"/>
    <hyperlink xmlns:r="http://schemas.openxmlformats.org/officeDocument/2006/relationships" ref="Q62" r:id="rId189"/>
    <hyperlink xmlns:r="http://schemas.openxmlformats.org/officeDocument/2006/relationships" ref="K63" r:id="rId190"/>
    <hyperlink xmlns:r="http://schemas.openxmlformats.org/officeDocument/2006/relationships" ref="P63" r:id="rId191"/>
    <hyperlink xmlns:r="http://schemas.openxmlformats.org/officeDocument/2006/relationships" ref="Q63" r:id="rId192"/>
    <hyperlink xmlns:r="http://schemas.openxmlformats.org/officeDocument/2006/relationships" ref="K64" r:id="rId193"/>
    <hyperlink xmlns:r="http://schemas.openxmlformats.org/officeDocument/2006/relationships" ref="P64" r:id="rId194"/>
    <hyperlink xmlns:r="http://schemas.openxmlformats.org/officeDocument/2006/relationships" ref="Q64" r:id="rId195"/>
    <hyperlink xmlns:r="http://schemas.openxmlformats.org/officeDocument/2006/relationships" ref="P65" r:id="rId196"/>
    <hyperlink xmlns:r="http://schemas.openxmlformats.org/officeDocument/2006/relationships" ref="Q65" r:id="rId197"/>
    <hyperlink xmlns:r="http://schemas.openxmlformats.org/officeDocument/2006/relationships" ref="P66" r:id="rId198"/>
    <hyperlink xmlns:r="http://schemas.openxmlformats.org/officeDocument/2006/relationships" ref="Q66" r:id="rId199"/>
    <hyperlink xmlns:r="http://schemas.openxmlformats.org/officeDocument/2006/relationships" ref="K67" r:id="rId200"/>
    <hyperlink xmlns:r="http://schemas.openxmlformats.org/officeDocument/2006/relationships" ref="P67" r:id="rId201"/>
    <hyperlink xmlns:r="http://schemas.openxmlformats.org/officeDocument/2006/relationships" ref="Q67" r:id="rId202"/>
    <hyperlink xmlns:r="http://schemas.openxmlformats.org/officeDocument/2006/relationships" ref="K68" r:id="rId203"/>
    <hyperlink xmlns:r="http://schemas.openxmlformats.org/officeDocument/2006/relationships" ref="P68" r:id="rId204"/>
    <hyperlink xmlns:r="http://schemas.openxmlformats.org/officeDocument/2006/relationships" ref="Q68" r:id="rId205"/>
    <hyperlink xmlns:r="http://schemas.openxmlformats.org/officeDocument/2006/relationships" ref="K69" r:id="rId206"/>
    <hyperlink xmlns:r="http://schemas.openxmlformats.org/officeDocument/2006/relationships" ref="P69" r:id="rId207"/>
    <hyperlink xmlns:r="http://schemas.openxmlformats.org/officeDocument/2006/relationships" ref="Q69" r:id="rId208"/>
    <hyperlink xmlns:r="http://schemas.openxmlformats.org/officeDocument/2006/relationships" ref="K70" r:id="rId209"/>
    <hyperlink xmlns:r="http://schemas.openxmlformats.org/officeDocument/2006/relationships" ref="P70" r:id="rId210"/>
    <hyperlink xmlns:r="http://schemas.openxmlformats.org/officeDocument/2006/relationships" ref="Q70" r:id="rId211"/>
    <hyperlink xmlns:r="http://schemas.openxmlformats.org/officeDocument/2006/relationships" ref="K71" r:id="rId212"/>
    <hyperlink xmlns:r="http://schemas.openxmlformats.org/officeDocument/2006/relationships" ref="P71" r:id="rId213"/>
    <hyperlink xmlns:r="http://schemas.openxmlformats.org/officeDocument/2006/relationships" ref="Q71" r:id="rId214"/>
    <hyperlink xmlns:r="http://schemas.openxmlformats.org/officeDocument/2006/relationships" ref="K72" r:id="rId215"/>
    <hyperlink xmlns:r="http://schemas.openxmlformats.org/officeDocument/2006/relationships" ref="P72" r:id="rId216"/>
    <hyperlink xmlns:r="http://schemas.openxmlformats.org/officeDocument/2006/relationships" ref="Q72" r:id="rId217"/>
    <hyperlink xmlns:r="http://schemas.openxmlformats.org/officeDocument/2006/relationships" ref="P73" r:id="rId218"/>
    <hyperlink xmlns:r="http://schemas.openxmlformats.org/officeDocument/2006/relationships" ref="Q73" r:id="rId219"/>
    <hyperlink xmlns:r="http://schemas.openxmlformats.org/officeDocument/2006/relationships" ref="K74" r:id="rId220"/>
    <hyperlink xmlns:r="http://schemas.openxmlformats.org/officeDocument/2006/relationships" ref="P74" r:id="rId221"/>
    <hyperlink xmlns:r="http://schemas.openxmlformats.org/officeDocument/2006/relationships" ref="Q74" r:id="rId222"/>
    <hyperlink xmlns:r="http://schemas.openxmlformats.org/officeDocument/2006/relationships" ref="K75" r:id="rId223"/>
    <hyperlink xmlns:r="http://schemas.openxmlformats.org/officeDocument/2006/relationships" ref="P75" r:id="rId224"/>
    <hyperlink xmlns:r="http://schemas.openxmlformats.org/officeDocument/2006/relationships" ref="Q75" r:id="rId225"/>
    <hyperlink xmlns:r="http://schemas.openxmlformats.org/officeDocument/2006/relationships" ref="K76" r:id="rId226"/>
    <hyperlink xmlns:r="http://schemas.openxmlformats.org/officeDocument/2006/relationships" ref="P76" r:id="rId227"/>
    <hyperlink xmlns:r="http://schemas.openxmlformats.org/officeDocument/2006/relationships" ref="Q76" r:id="rId228"/>
    <hyperlink xmlns:r="http://schemas.openxmlformats.org/officeDocument/2006/relationships" ref="K77" r:id="rId229"/>
    <hyperlink xmlns:r="http://schemas.openxmlformats.org/officeDocument/2006/relationships" ref="P77" r:id="rId230"/>
    <hyperlink xmlns:r="http://schemas.openxmlformats.org/officeDocument/2006/relationships" ref="Q77" r:id="rId231"/>
    <hyperlink xmlns:r="http://schemas.openxmlformats.org/officeDocument/2006/relationships" ref="K78" r:id="rId232"/>
    <hyperlink xmlns:r="http://schemas.openxmlformats.org/officeDocument/2006/relationships" ref="P78" r:id="rId233"/>
    <hyperlink xmlns:r="http://schemas.openxmlformats.org/officeDocument/2006/relationships" ref="Q78" r:id="rId234"/>
    <hyperlink xmlns:r="http://schemas.openxmlformats.org/officeDocument/2006/relationships" ref="K79" r:id="rId235"/>
    <hyperlink xmlns:r="http://schemas.openxmlformats.org/officeDocument/2006/relationships" ref="P79" r:id="rId236"/>
    <hyperlink xmlns:r="http://schemas.openxmlformats.org/officeDocument/2006/relationships" ref="Q79" r:id="rId237"/>
    <hyperlink xmlns:r="http://schemas.openxmlformats.org/officeDocument/2006/relationships" ref="K80" r:id="rId238"/>
    <hyperlink xmlns:r="http://schemas.openxmlformats.org/officeDocument/2006/relationships" ref="P80" r:id="rId239"/>
    <hyperlink xmlns:r="http://schemas.openxmlformats.org/officeDocument/2006/relationships" ref="Q80" r:id="rId240"/>
    <hyperlink xmlns:r="http://schemas.openxmlformats.org/officeDocument/2006/relationships" ref="K81" r:id="rId241"/>
    <hyperlink xmlns:r="http://schemas.openxmlformats.org/officeDocument/2006/relationships" ref="P81" r:id="rId242"/>
    <hyperlink xmlns:r="http://schemas.openxmlformats.org/officeDocument/2006/relationships" ref="Q81" r:id="rId243"/>
    <hyperlink xmlns:r="http://schemas.openxmlformats.org/officeDocument/2006/relationships" ref="K82" r:id="rId244"/>
    <hyperlink xmlns:r="http://schemas.openxmlformats.org/officeDocument/2006/relationships" ref="P82" r:id="rId245"/>
    <hyperlink xmlns:r="http://schemas.openxmlformats.org/officeDocument/2006/relationships" ref="Q82" r:id="rId246"/>
    <hyperlink xmlns:r="http://schemas.openxmlformats.org/officeDocument/2006/relationships" ref="K83" r:id="rId247"/>
    <hyperlink xmlns:r="http://schemas.openxmlformats.org/officeDocument/2006/relationships" ref="P83" r:id="rId248"/>
    <hyperlink xmlns:r="http://schemas.openxmlformats.org/officeDocument/2006/relationships" ref="Q83" r:id="rId249"/>
    <hyperlink xmlns:r="http://schemas.openxmlformats.org/officeDocument/2006/relationships" ref="K84" r:id="rId250"/>
    <hyperlink xmlns:r="http://schemas.openxmlformats.org/officeDocument/2006/relationships" ref="P84" r:id="rId251"/>
    <hyperlink xmlns:r="http://schemas.openxmlformats.org/officeDocument/2006/relationships" ref="Q84" r:id="rId252"/>
    <hyperlink xmlns:r="http://schemas.openxmlformats.org/officeDocument/2006/relationships" ref="K85" r:id="rId253"/>
    <hyperlink xmlns:r="http://schemas.openxmlformats.org/officeDocument/2006/relationships" ref="P85" r:id="rId254"/>
    <hyperlink xmlns:r="http://schemas.openxmlformats.org/officeDocument/2006/relationships" ref="Q85" r:id="rId255"/>
    <hyperlink xmlns:r="http://schemas.openxmlformats.org/officeDocument/2006/relationships" ref="P86" r:id="rId256"/>
    <hyperlink xmlns:r="http://schemas.openxmlformats.org/officeDocument/2006/relationships" ref="Q86" r:id="rId257"/>
    <hyperlink xmlns:r="http://schemas.openxmlformats.org/officeDocument/2006/relationships" ref="K87" r:id="rId258"/>
    <hyperlink xmlns:r="http://schemas.openxmlformats.org/officeDocument/2006/relationships" ref="P87" r:id="rId259"/>
    <hyperlink xmlns:r="http://schemas.openxmlformats.org/officeDocument/2006/relationships" ref="Q87" r:id="rId260"/>
    <hyperlink xmlns:r="http://schemas.openxmlformats.org/officeDocument/2006/relationships" ref="K88" r:id="rId261"/>
    <hyperlink xmlns:r="http://schemas.openxmlformats.org/officeDocument/2006/relationships" ref="P88" r:id="rId262"/>
    <hyperlink xmlns:r="http://schemas.openxmlformats.org/officeDocument/2006/relationships" ref="Q88" r:id="rId263"/>
    <hyperlink xmlns:r="http://schemas.openxmlformats.org/officeDocument/2006/relationships" ref="P89" r:id="rId264"/>
    <hyperlink xmlns:r="http://schemas.openxmlformats.org/officeDocument/2006/relationships" ref="Q89" r:id="rId265"/>
    <hyperlink xmlns:r="http://schemas.openxmlformats.org/officeDocument/2006/relationships" ref="K90" r:id="rId266"/>
    <hyperlink xmlns:r="http://schemas.openxmlformats.org/officeDocument/2006/relationships" ref="P90" r:id="rId267"/>
    <hyperlink xmlns:r="http://schemas.openxmlformats.org/officeDocument/2006/relationships" ref="Q90" r:id="rId268"/>
    <hyperlink xmlns:r="http://schemas.openxmlformats.org/officeDocument/2006/relationships" ref="P91" r:id="rId269"/>
    <hyperlink xmlns:r="http://schemas.openxmlformats.org/officeDocument/2006/relationships" ref="Q91" r:id="rId270"/>
    <hyperlink xmlns:r="http://schemas.openxmlformats.org/officeDocument/2006/relationships" ref="K92" r:id="rId271"/>
    <hyperlink xmlns:r="http://schemas.openxmlformats.org/officeDocument/2006/relationships" ref="P92" r:id="rId272"/>
    <hyperlink xmlns:r="http://schemas.openxmlformats.org/officeDocument/2006/relationships" ref="Q92" r:id="rId273"/>
    <hyperlink xmlns:r="http://schemas.openxmlformats.org/officeDocument/2006/relationships" ref="P93" r:id="rId274"/>
    <hyperlink xmlns:r="http://schemas.openxmlformats.org/officeDocument/2006/relationships" ref="Q93" r:id="rId275"/>
    <hyperlink xmlns:r="http://schemas.openxmlformats.org/officeDocument/2006/relationships" ref="P94" r:id="rId276"/>
    <hyperlink xmlns:r="http://schemas.openxmlformats.org/officeDocument/2006/relationships" ref="Q94" r:id="rId27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9" customWidth="1" min="4" max="4"/>
    <col width="22" customWidth="1" min="5" max="5"/>
    <col width="20" customWidth="1" min="6" max="6"/>
    <col width="20" customWidth="1" min="7" max="7"/>
    <col width="26" customWidth="1" min="8" max="8"/>
    <col width="13" customWidth="1" min="9" max="9"/>
    <col width="22" customWidth="1" min="10" max="10"/>
    <col width="12" customWidth="1" min="11" max="11"/>
    <col width="12" customWidth="1" min="12" max="12"/>
    <col width="32" customWidth="1" min="13" max="13"/>
    <col width="30" customWidth="1" min="14" max="14"/>
    <col width="12" customWidth="1" min="15" max="15"/>
    <col width="10" customWidth="1" min="16" max="16"/>
    <col width="12" customWidth="1" min="17" max="17"/>
    <col width="14" customWidth="1" min="18" max="18"/>
    <col width="34" customWidth="1" min="19" max="19"/>
    <col width="16" customWidth="1" min="20" max="20"/>
    <col width="16" customWidth="1" min="21" max="21"/>
    <col width="16" customWidth="1" min="22" max="22"/>
  </cols>
  <sheetData>
    <row r="1" ht="32" customHeight="1">
      <c r="A1" s="10" t="inlineStr">
        <is>
          <t>ID</t>
        </is>
      </c>
      <c r="B1" s="10" t="inlineStr">
        <is>
          <t>Empresa</t>
        </is>
      </c>
      <c r="C1" s="10" t="inlineStr">
        <is>
          <t>Provincia</t>
        </is>
      </c>
      <c r="D1" s="10" t="inlineStr">
        <is>
          <t>Prioridad</t>
        </is>
      </c>
      <c r="E1" s="10" t="inlineStr">
        <is>
          <t>Contacto (nombre)</t>
        </is>
      </c>
      <c r="F1" s="10" t="inlineStr">
        <is>
          <t>Cargo</t>
        </is>
      </c>
      <c r="G1" s="10" t="inlineStr">
        <is>
          <t>Teléfono / WhatsApp</t>
        </is>
      </c>
      <c r="H1" s="10" t="inlineStr">
        <is>
          <t>Correo</t>
        </is>
      </c>
      <c r="I1" s="10" t="inlineStr">
        <is>
          <t>Canal</t>
        </is>
      </c>
      <c r="J1" s="10" t="inlineStr">
        <is>
          <t>Estado</t>
        </is>
      </c>
      <c r="K1" s="10" t="inlineStr">
        <is>
          <t>Fecha 1er contacto</t>
        </is>
      </c>
      <c r="L1" s="10" t="inlineStr">
        <is>
          <t>Última llamada / contacto</t>
        </is>
      </c>
      <c r="M1" s="10" t="inlineStr">
        <is>
          <t>Resultado de la última llamada</t>
        </is>
      </c>
      <c r="N1" s="10" t="inlineStr">
        <is>
          <t>Próximo paso</t>
        </is>
      </c>
      <c r="O1" s="10" t="inlineStr">
        <is>
          <t>Fecha próximo paso</t>
        </is>
      </c>
      <c r="P1" s="10" t="inlineStr">
        <is>
          <t>Días sin contacto</t>
        </is>
      </c>
      <c r="Q1" s="10" t="inlineStr">
        <is>
          <t>N.º proforma</t>
        </is>
      </c>
      <c r="R1" s="10" t="inlineStr">
        <is>
          <t>Monto proforma (sin IVA)</t>
        </is>
      </c>
      <c r="S1" s="10" t="inlineStr">
        <is>
          <t>Notas</t>
        </is>
      </c>
      <c r="T1" s="10" t="inlineStr">
        <is>
          <t>✉️ Abrir correo listo</t>
        </is>
      </c>
      <c r="U1" s="10" t="inlineStr">
        <is>
          <t>↩️ Correo de seguimiento</t>
        </is>
      </c>
      <c r="V1" s="10" t="inlineStr">
        <is>
          <t>📅 Agendar seguimiento</t>
        </is>
      </c>
    </row>
    <row r="2">
      <c r="A2" s="11" t="inlineStr">
        <is>
          <t>P001</t>
        </is>
      </c>
      <c r="B2" s="11">
        <f>IFERROR(INDEX(Prospectos!$F:$F,MATCH(A2,Prospectos!$A:$A,0)),"")</f>
        <v/>
      </c>
      <c r="C2" s="11">
        <f>IFERROR(INDEX(Prospectos!$D:$D,MATCH(A2,Prospectos!$A:$A,0)),"")</f>
        <v/>
      </c>
      <c r="D2" s="11">
        <f>IFERROR(INDEX(Prospectos!$B:$B,MATCH(A2,Prospectos!$A:$A,0)),"")</f>
        <v/>
      </c>
      <c r="E2" s="11" t="n"/>
      <c r="F2" s="11" t="n"/>
      <c r="G2" s="11" t="n"/>
      <c r="H2" s="11" t="n"/>
      <c r="I2" s="11" t="n"/>
      <c r="J2" s="11" t="inlineStr">
        <is>
          <t>Por contactar</t>
        </is>
      </c>
      <c r="K2" s="16" t="n"/>
      <c r="L2" s="16" t="n"/>
      <c r="M2" s="11" t="n"/>
      <c r="N2" s="11" t="n"/>
      <c r="O2" s="16" t="n"/>
      <c r="P2" s="11">
        <f>IF(L2="","",TODAY()-L2)</f>
        <v/>
      </c>
      <c r="Q2" s="11" t="n"/>
      <c r="R2" s="17" t="n"/>
      <c r="S2" s="11" t="n"/>
      <c r="T2" s="13" t="inlineStr">
        <is>
          <t>✉️ Abrir correo</t>
        </is>
      </c>
      <c r="U2" s="13" t="inlineStr">
        <is>
          <t>↩️ Seguimiento</t>
        </is>
      </c>
      <c r="V2" s="13">
        <f>IF(A2="","",HYPERLINK("https://calendar.google.com/calendar/render?action=TEMPLATE&amp;text="&amp;"Racksa%3A%20"&amp;SUBSTITUTE(SUBSTITUTE(SUBSTITUTE(LEFT(B2,45),"&amp;","y")," ","%20"),"#","")&amp;"%20-%20seguimiento"&amp;"&amp;dates="&amp;YEAR(IF(O2="",TODAY()+3,O2))&amp;RIGHT("0"&amp;MONTH(IF(O2="",TODAY()+3,O2)),2)&amp;RIGHT("0"&amp;DAY(IF(O2="",TODAY()+3,O2)),2)&amp;"/"&amp;YEAR(IF(O2="",TODAY()+4,O2+1))&amp;RIGHT("0"&amp;MONTH(IF(O2="",TODAY()+4,O2+1)),2)&amp;RIGHT("0"&amp;DAY(IF(O2="",TODAY()+4,O2+1)),2),"📅 Agendar"))</f>
        <v/>
      </c>
    </row>
    <row r="3">
      <c r="A3" s="11" t="inlineStr">
        <is>
          <t>P002</t>
        </is>
      </c>
      <c r="B3" s="11">
        <f>IFERROR(INDEX(Prospectos!$F:$F,MATCH(A3,Prospectos!$A:$A,0)),"")</f>
        <v/>
      </c>
      <c r="C3" s="11">
        <f>IFERROR(INDEX(Prospectos!$D:$D,MATCH(A3,Prospectos!$A:$A,0)),"")</f>
        <v/>
      </c>
      <c r="D3" s="11">
        <f>IFERROR(INDEX(Prospectos!$B:$B,MATCH(A3,Prospectos!$A:$A,0)),"")</f>
        <v/>
      </c>
      <c r="E3" s="11" t="n"/>
      <c r="F3" s="11" t="n"/>
      <c r="G3" s="11" t="n"/>
      <c r="H3" s="11" t="inlineStr">
        <is>
          <t>info@agripac.com.ec</t>
        </is>
      </c>
      <c r="I3" s="11" t="inlineStr">
        <is>
          <t>Correo</t>
        </is>
      </c>
      <c r="J3" s="11" t="inlineStr">
        <is>
          <t>Por contactar</t>
        </is>
      </c>
      <c r="K3" s="16" t="n"/>
      <c r="L3" s="16" t="n"/>
      <c r="M3" s="11" t="n"/>
      <c r="N3" s="11" t="n"/>
      <c r="O3" s="16" t="n"/>
      <c r="P3" s="11">
        <f>IF(L3="","",TODAY()-L3)</f>
        <v/>
      </c>
      <c r="Q3" s="11" t="n"/>
      <c r="R3" s="17" t="n"/>
      <c r="S3" s="11" t="n"/>
      <c r="T3" s="13" t="inlineStr">
        <is>
          <t>✉️ Abrir correo</t>
        </is>
      </c>
      <c r="U3" s="13" t="inlineStr">
        <is>
          <t>↩️ Seguimiento</t>
        </is>
      </c>
      <c r="V3" s="13">
        <f>IF(A3="","",HYPERLINK("https://calendar.google.com/calendar/render?action=TEMPLATE&amp;text="&amp;"Racksa%3A%20"&amp;SUBSTITUTE(SUBSTITUTE(SUBSTITUTE(LEFT(B3,45),"&amp;","y")," ","%20"),"#","")&amp;"%20-%20seguimiento"&amp;"&amp;dates="&amp;YEAR(IF(O3="",TODAY()+3,O3))&amp;RIGHT("0"&amp;MONTH(IF(O3="",TODAY()+3,O3)),2)&amp;RIGHT("0"&amp;DAY(IF(O3="",TODAY()+3,O3)),2)&amp;"/"&amp;YEAR(IF(O3="",TODAY()+4,O3+1))&amp;RIGHT("0"&amp;MONTH(IF(O3="",TODAY()+4,O3+1)),2)&amp;RIGHT("0"&amp;DAY(IF(O3="",TODAY()+4,O3+1)),2),"📅 Agendar"))</f>
        <v/>
      </c>
    </row>
    <row r="4">
      <c r="A4" s="11" t="inlineStr">
        <is>
          <t>P003</t>
        </is>
      </c>
      <c r="B4" s="11">
        <f>IFERROR(INDEX(Prospectos!$F:$F,MATCH(A4,Prospectos!$A:$A,0)),"")</f>
        <v/>
      </c>
      <c r="C4" s="11">
        <f>IFERROR(INDEX(Prospectos!$D:$D,MATCH(A4,Prospectos!$A:$A,0)),"")</f>
        <v/>
      </c>
      <c r="D4" s="11">
        <f>IFERROR(INDEX(Prospectos!$B:$B,MATCH(A4,Prospectos!$A:$A,0)),"")</f>
        <v/>
      </c>
      <c r="E4" s="11" t="n"/>
      <c r="F4" s="11" t="n"/>
      <c r="G4" s="11" t="n"/>
      <c r="H4" s="11" t="n"/>
      <c r="I4" s="11" t="n"/>
      <c r="J4" s="11" t="inlineStr">
        <is>
          <t>Por contactar</t>
        </is>
      </c>
      <c r="K4" s="16" t="n"/>
      <c r="L4" s="16" t="n"/>
      <c r="M4" s="11" t="n"/>
      <c r="N4" s="11" t="n"/>
      <c r="O4" s="16" t="n"/>
      <c r="P4" s="11">
        <f>IF(L4="","",TODAY()-L4)</f>
        <v/>
      </c>
      <c r="Q4" s="11" t="n"/>
      <c r="R4" s="17" t="n"/>
      <c r="S4" s="11" t="n"/>
      <c r="T4" s="13" t="inlineStr">
        <is>
          <t>✉️ Abrir correo</t>
        </is>
      </c>
      <c r="U4" s="13" t="inlineStr">
        <is>
          <t>↩️ Seguimiento</t>
        </is>
      </c>
      <c r="V4" s="13">
        <f>IF(A4="","",HYPERLINK("https://calendar.google.com/calendar/render?action=TEMPLATE&amp;text="&amp;"Racksa%3A%20"&amp;SUBSTITUTE(SUBSTITUTE(SUBSTITUTE(LEFT(B4,45),"&amp;","y")," ","%20"),"#","")&amp;"%20-%20seguimiento"&amp;"&amp;dates="&amp;YEAR(IF(O4="",TODAY()+3,O4))&amp;RIGHT("0"&amp;MONTH(IF(O4="",TODAY()+3,O4)),2)&amp;RIGHT("0"&amp;DAY(IF(O4="",TODAY()+3,O4)),2)&amp;"/"&amp;YEAR(IF(O4="",TODAY()+4,O4+1))&amp;RIGHT("0"&amp;MONTH(IF(O4="",TODAY()+4,O4+1)),2)&amp;RIGHT("0"&amp;DAY(IF(O4="",TODAY()+4,O4+1)),2),"📅 Agendar"))</f>
        <v/>
      </c>
    </row>
    <row r="5">
      <c r="A5" s="11" t="inlineStr">
        <is>
          <t>P004</t>
        </is>
      </c>
      <c r="B5" s="11">
        <f>IFERROR(INDEX(Prospectos!$F:$F,MATCH(A5,Prospectos!$A:$A,0)),"")</f>
        <v/>
      </c>
      <c r="C5" s="11">
        <f>IFERROR(INDEX(Prospectos!$D:$D,MATCH(A5,Prospectos!$A:$A,0)),"")</f>
        <v/>
      </c>
      <c r="D5" s="11">
        <f>IFERROR(INDEX(Prospectos!$B:$B,MATCH(A5,Prospectos!$A:$A,0)),"")</f>
        <v/>
      </c>
      <c r="E5" s="11" t="n"/>
      <c r="F5" s="11" t="n"/>
      <c r="G5" s="11" t="n"/>
      <c r="H5" s="11" t="n"/>
      <c r="I5" s="11" t="n"/>
      <c r="J5" s="11" t="inlineStr">
        <is>
          <t>Por contactar</t>
        </is>
      </c>
      <c r="K5" s="16" t="n"/>
      <c r="L5" s="16" t="n"/>
      <c r="M5" s="11" t="n"/>
      <c r="N5" s="11" t="n"/>
      <c r="O5" s="16" t="n"/>
      <c r="P5" s="11">
        <f>IF(L5="","",TODAY()-L5)</f>
        <v/>
      </c>
      <c r="Q5" s="11" t="n"/>
      <c r="R5" s="17" t="n"/>
      <c r="S5" s="11" t="n"/>
      <c r="T5" s="13" t="inlineStr">
        <is>
          <t>✉️ Abrir correo</t>
        </is>
      </c>
      <c r="U5" s="13" t="inlineStr">
        <is>
          <t>↩️ Seguimiento</t>
        </is>
      </c>
      <c r="V5" s="13">
        <f>IF(A5="","",HYPERLINK("https://calendar.google.com/calendar/render?action=TEMPLATE&amp;text="&amp;"Racksa%3A%20"&amp;SUBSTITUTE(SUBSTITUTE(SUBSTITUTE(LEFT(B5,45),"&amp;","y")," ","%20"),"#","")&amp;"%20-%20seguimiento"&amp;"&amp;dates="&amp;YEAR(IF(O5="",TODAY()+3,O5))&amp;RIGHT("0"&amp;MONTH(IF(O5="",TODAY()+3,O5)),2)&amp;RIGHT("0"&amp;DAY(IF(O5="",TODAY()+3,O5)),2)&amp;"/"&amp;YEAR(IF(O5="",TODAY()+4,O5+1))&amp;RIGHT("0"&amp;MONTH(IF(O5="",TODAY()+4,O5+1)),2)&amp;RIGHT("0"&amp;DAY(IF(O5="",TODAY()+4,O5+1)),2),"📅 Agendar"))</f>
        <v/>
      </c>
    </row>
    <row r="6">
      <c r="A6" s="11" t="inlineStr">
        <is>
          <t>P005</t>
        </is>
      </c>
      <c r="B6" s="11">
        <f>IFERROR(INDEX(Prospectos!$F:$F,MATCH(A6,Prospectos!$A:$A,0)),"")</f>
        <v/>
      </c>
      <c r="C6" s="11">
        <f>IFERROR(INDEX(Prospectos!$D:$D,MATCH(A6,Prospectos!$A:$A,0)),"")</f>
        <v/>
      </c>
      <c r="D6" s="11">
        <f>IFERROR(INDEX(Prospectos!$B:$B,MATCH(A6,Prospectos!$A:$A,0)),"")</f>
        <v/>
      </c>
      <c r="E6" s="11" t="n"/>
      <c r="F6" s="11" t="n"/>
      <c r="G6" s="11" t="n"/>
      <c r="H6" s="11" t="n"/>
      <c r="I6" s="11" t="n"/>
      <c r="J6" s="11" t="inlineStr">
        <is>
          <t>Por contactar</t>
        </is>
      </c>
      <c r="K6" s="16" t="n"/>
      <c r="L6" s="16" t="n"/>
      <c r="M6" s="11" t="n"/>
      <c r="N6" s="11" t="n"/>
      <c r="O6" s="16" t="n"/>
      <c r="P6" s="11">
        <f>IF(L6="","",TODAY()-L6)</f>
        <v/>
      </c>
      <c r="Q6" s="11" t="n"/>
      <c r="R6" s="17" t="n"/>
      <c r="S6" s="11" t="n"/>
      <c r="T6" s="13" t="inlineStr">
        <is>
          <t>✉️ Abrir correo</t>
        </is>
      </c>
      <c r="U6" s="13" t="inlineStr">
        <is>
          <t>↩️ Seguimiento</t>
        </is>
      </c>
      <c r="V6" s="13">
        <f>IF(A6="","",HYPERLINK("https://calendar.google.com/calendar/render?action=TEMPLATE&amp;text="&amp;"Racksa%3A%20"&amp;SUBSTITUTE(SUBSTITUTE(SUBSTITUTE(LEFT(B6,45),"&amp;","y")," ","%20"),"#","")&amp;"%20-%20seguimiento"&amp;"&amp;dates="&amp;YEAR(IF(O6="",TODAY()+3,O6))&amp;RIGHT("0"&amp;MONTH(IF(O6="",TODAY()+3,O6)),2)&amp;RIGHT("0"&amp;DAY(IF(O6="",TODAY()+3,O6)),2)&amp;"/"&amp;YEAR(IF(O6="",TODAY()+4,O6+1))&amp;RIGHT("0"&amp;MONTH(IF(O6="",TODAY()+4,O6+1)),2)&amp;RIGHT("0"&amp;DAY(IF(O6="",TODAY()+4,O6+1)),2),"📅 Agendar"))</f>
        <v/>
      </c>
    </row>
    <row r="7">
      <c r="A7" s="11" t="inlineStr">
        <is>
          <t>P006</t>
        </is>
      </c>
      <c r="B7" s="11">
        <f>IFERROR(INDEX(Prospectos!$F:$F,MATCH(A7,Prospectos!$A:$A,0)),"")</f>
        <v/>
      </c>
      <c r="C7" s="11">
        <f>IFERROR(INDEX(Prospectos!$D:$D,MATCH(A7,Prospectos!$A:$A,0)),"")</f>
        <v/>
      </c>
      <c r="D7" s="11">
        <f>IFERROR(INDEX(Prospectos!$B:$B,MATCH(A7,Prospectos!$A:$A,0)),"")</f>
        <v/>
      </c>
      <c r="E7" s="11" t="n"/>
      <c r="F7" s="11" t="n"/>
      <c r="G7" s="11" t="n"/>
      <c r="H7" s="11" t="n"/>
      <c r="I7" s="11" t="n"/>
      <c r="J7" s="11" t="inlineStr">
        <is>
          <t>Por contactar</t>
        </is>
      </c>
      <c r="K7" s="16" t="n"/>
      <c r="L7" s="16" t="n"/>
      <c r="M7" s="11" t="n"/>
      <c r="N7" s="11" t="n"/>
      <c r="O7" s="16" t="n"/>
      <c r="P7" s="11">
        <f>IF(L7="","",TODAY()-L7)</f>
        <v/>
      </c>
      <c r="Q7" s="11" t="n"/>
      <c r="R7" s="17" t="n"/>
      <c r="S7" s="11" t="n"/>
      <c r="T7" s="13" t="inlineStr">
        <is>
          <t>✉️ Abrir correo</t>
        </is>
      </c>
      <c r="U7" s="13" t="inlineStr">
        <is>
          <t>↩️ Seguimiento</t>
        </is>
      </c>
      <c r="V7" s="13">
        <f>IF(A7="","",HYPERLINK("https://calendar.google.com/calendar/render?action=TEMPLATE&amp;text="&amp;"Racksa%3A%20"&amp;SUBSTITUTE(SUBSTITUTE(SUBSTITUTE(LEFT(B7,45),"&amp;","y")," ","%20"),"#","")&amp;"%20-%20seguimiento"&amp;"&amp;dates="&amp;YEAR(IF(O7="",TODAY()+3,O7))&amp;RIGHT("0"&amp;MONTH(IF(O7="",TODAY()+3,O7)),2)&amp;RIGHT("0"&amp;DAY(IF(O7="",TODAY()+3,O7)),2)&amp;"/"&amp;YEAR(IF(O7="",TODAY()+4,O7+1))&amp;RIGHT("0"&amp;MONTH(IF(O7="",TODAY()+4,O7+1)),2)&amp;RIGHT("0"&amp;DAY(IF(O7="",TODAY()+4,O7+1)),2),"📅 Agendar"))</f>
        <v/>
      </c>
    </row>
    <row r="8">
      <c r="A8" s="11" t="inlineStr">
        <is>
          <t>P007</t>
        </is>
      </c>
      <c r="B8" s="11">
        <f>IFERROR(INDEX(Prospectos!$F:$F,MATCH(A8,Prospectos!$A:$A,0)),"")</f>
        <v/>
      </c>
      <c r="C8" s="11">
        <f>IFERROR(INDEX(Prospectos!$D:$D,MATCH(A8,Prospectos!$A:$A,0)),"")</f>
        <v/>
      </c>
      <c r="D8" s="11">
        <f>IFERROR(INDEX(Prospectos!$B:$B,MATCH(A8,Prospectos!$A:$A,0)),"")</f>
        <v/>
      </c>
      <c r="E8" s="11" t="n"/>
      <c r="F8" s="11" t="n"/>
      <c r="G8" s="11" t="n"/>
      <c r="H8" s="11" t="n"/>
      <c r="I8" s="11" t="n"/>
      <c r="J8" s="11" t="inlineStr">
        <is>
          <t>Por contactar</t>
        </is>
      </c>
      <c r="K8" s="16" t="n"/>
      <c r="L8" s="16" t="n"/>
      <c r="M8" s="11" t="n"/>
      <c r="N8" s="11" t="n"/>
      <c r="O8" s="16" t="n"/>
      <c r="P8" s="11">
        <f>IF(L8="","",TODAY()-L8)</f>
        <v/>
      </c>
      <c r="Q8" s="11" t="n"/>
      <c r="R8" s="17" t="n"/>
      <c r="S8" s="11" t="n"/>
      <c r="T8" s="13" t="inlineStr">
        <is>
          <t>✉️ Abrir correo</t>
        </is>
      </c>
      <c r="U8" s="13" t="inlineStr">
        <is>
          <t>↩️ Seguimiento</t>
        </is>
      </c>
      <c r="V8" s="13">
        <f>IF(A8="","",HYPERLINK("https://calendar.google.com/calendar/render?action=TEMPLATE&amp;text="&amp;"Racksa%3A%20"&amp;SUBSTITUTE(SUBSTITUTE(SUBSTITUTE(LEFT(B8,45),"&amp;","y")," ","%20"),"#","")&amp;"%20-%20seguimiento"&amp;"&amp;dates="&amp;YEAR(IF(O8="",TODAY()+3,O8))&amp;RIGHT("0"&amp;MONTH(IF(O8="",TODAY()+3,O8)),2)&amp;RIGHT("0"&amp;DAY(IF(O8="",TODAY()+3,O8)),2)&amp;"/"&amp;YEAR(IF(O8="",TODAY()+4,O8+1))&amp;RIGHT("0"&amp;MONTH(IF(O8="",TODAY()+4,O8+1)),2)&amp;RIGHT("0"&amp;DAY(IF(O8="",TODAY()+4,O8+1)),2),"📅 Agendar"))</f>
        <v/>
      </c>
    </row>
    <row r="9">
      <c r="A9" s="11" t="inlineStr">
        <is>
          <t>P008</t>
        </is>
      </c>
      <c r="B9" s="11">
        <f>IFERROR(INDEX(Prospectos!$F:$F,MATCH(A9,Prospectos!$A:$A,0)),"")</f>
        <v/>
      </c>
      <c r="C9" s="11">
        <f>IFERROR(INDEX(Prospectos!$D:$D,MATCH(A9,Prospectos!$A:$A,0)),"")</f>
        <v/>
      </c>
      <c r="D9" s="11">
        <f>IFERROR(INDEX(Prospectos!$B:$B,MATCH(A9,Prospectos!$A:$A,0)),"")</f>
        <v/>
      </c>
      <c r="E9" s="11" t="n"/>
      <c r="F9" s="11" t="n"/>
      <c r="G9" s="11" t="n"/>
      <c r="H9" s="11" t="n"/>
      <c r="I9" s="11" t="n"/>
      <c r="J9" s="11" t="inlineStr">
        <is>
          <t>Por contactar</t>
        </is>
      </c>
      <c r="K9" s="16" t="n"/>
      <c r="L9" s="16" t="n"/>
      <c r="M9" s="11" t="n"/>
      <c r="N9" s="11" t="n"/>
      <c r="O9" s="16" t="n"/>
      <c r="P9" s="11">
        <f>IF(L9="","",TODAY()-L9)</f>
        <v/>
      </c>
      <c r="Q9" s="11" t="n"/>
      <c r="R9" s="17" t="n"/>
      <c r="S9" s="11" t="n"/>
      <c r="T9" s="13" t="inlineStr">
        <is>
          <t>✉️ Abrir correo</t>
        </is>
      </c>
      <c r="U9" s="13" t="inlineStr">
        <is>
          <t>↩️ Seguimiento</t>
        </is>
      </c>
      <c r="V9" s="13">
        <f>IF(A9="","",HYPERLINK("https://calendar.google.com/calendar/render?action=TEMPLATE&amp;text="&amp;"Racksa%3A%20"&amp;SUBSTITUTE(SUBSTITUTE(SUBSTITUTE(LEFT(B9,45),"&amp;","y")," ","%20"),"#","")&amp;"%20-%20seguimiento"&amp;"&amp;dates="&amp;YEAR(IF(O9="",TODAY()+3,O9))&amp;RIGHT("0"&amp;MONTH(IF(O9="",TODAY()+3,O9)),2)&amp;RIGHT("0"&amp;DAY(IF(O9="",TODAY()+3,O9)),2)&amp;"/"&amp;YEAR(IF(O9="",TODAY()+4,O9+1))&amp;RIGHT("0"&amp;MONTH(IF(O9="",TODAY()+4,O9+1)),2)&amp;RIGHT("0"&amp;DAY(IF(O9="",TODAY()+4,O9+1)),2),"📅 Agendar"))</f>
        <v/>
      </c>
    </row>
    <row r="10">
      <c r="A10" s="11" t="inlineStr">
        <is>
          <t>P009</t>
        </is>
      </c>
      <c r="B10" s="11">
        <f>IFERROR(INDEX(Prospectos!$F:$F,MATCH(A10,Prospectos!$A:$A,0)),"")</f>
        <v/>
      </c>
      <c r="C10" s="11">
        <f>IFERROR(INDEX(Prospectos!$D:$D,MATCH(A10,Prospectos!$A:$A,0)),"")</f>
        <v/>
      </c>
      <c r="D10" s="11">
        <f>IFERROR(INDEX(Prospectos!$B:$B,MATCH(A10,Prospectos!$A:$A,0)),"")</f>
        <v/>
      </c>
      <c r="E10" s="11" t="n"/>
      <c r="F10" s="11" t="n"/>
      <c r="G10" s="11" t="n"/>
      <c r="H10" s="11" t="n"/>
      <c r="I10" s="11" t="n"/>
      <c r="J10" s="11" t="inlineStr">
        <is>
          <t>Por contactar</t>
        </is>
      </c>
      <c r="K10" s="16" t="n"/>
      <c r="L10" s="16" t="n"/>
      <c r="M10" s="11" t="n"/>
      <c r="N10" s="11" t="n"/>
      <c r="O10" s="16" t="n"/>
      <c r="P10" s="11">
        <f>IF(L10="","",TODAY()-L10)</f>
        <v/>
      </c>
      <c r="Q10" s="11" t="n"/>
      <c r="R10" s="17" t="n"/>
      <c r="S10" s="11" t="n"/>
      <c r="T10" s="13" t="inlineStr">
        <is>
          <t>✉️ Abrir correo</t>
        </is>
      </c>
      <c r="U10" s="13" t="inlineStr">
        <is>
          <t>↩️ Seguimiento</t>
        </is>
      </c>
      <c r="V10" s="13">
        <f>IF(A10="","",HYPERLINK("https://calendar.google.com/calendar/render?action=TEMPLATE&amp;text="&amp;"Racksa%3A%20"&amp;SUBSTITUTE(SUBSTITUTE(SUBSTITUTE(LEFT(B10,45),"&amp;","y")," ","%20"),"#","")&amp;"%20-%20seguimiento"&amp;"&amp;dates="&amp;YEAR(IF(O10="",TODAY()+3,O10))&amp;RIGHT("0"&amp;MONTH(IF(O10="",TODAY()+3,O10)),2)&amp;RIGHT("0"&amp;DAY(IF(O10="",TODAY()+3,O10)),2)&amp;"/"&amp;YEAR(IF(O10="",TODAY()+4,O10+1))&amp;RIGHT("0"&amp;MONTH(IF(O10="",TODAY()+4,O10+1)),2)&amp;RIGHT("0"&amp;DAY(IF(O10="",TODAY()+4,O10+1)),2),"📅 Agendar"))</f>
        <v/>
      </c>
    </row>
    <row r="11">
      <c r="A11" s="11" t="inlineStr">
        <is>
          <t>P010</t>
        </is>
      </c>
      <c r="B11" s="11">
        <f>IFERROR(INDEX(Prospectos!$F:$F,MATCH(A11,Prospectos!$A:$A,0)),"")</f>
        <v/>
      </c>
      <c r="C11" s="11">
        <f>IFERROR(INDEX(Prospectos!$D:$D,MATCH(A11,Prospectos!$A:$A,0)),"")</f>
        <v/>
      </c>
      <c r="D11" s="11">
        <f>IFERROR(INDEX(Prospectos!$B:$B,MATCH(A11,Prospectos!$A:$A,0)),"")</f>
        <v/>
      </c>
      <c r="E11" s="11" t="n"/>
      <c r="F11" s="11" t="n"/>
      <c r="G11" s="11" t="n"/>
      <c r="H11" s="11" t="inlineStr">
        <is>
          <t>info@dipacmanta.com</t>
        </is>
      </c>
      <c r="I11" s="11" t="inlineStr">
        <is>
          <t>Correo</t>
        </is>
      </c>
      <c r="J11" s="11" t="inlineStr">
        <is>
          <t>Por contactar</t>
        </is>
      </c>
      <c r="K11" s="16" t="n"/>
      <c r="L11" s="16" t="n"/>
      <c r="M11" s="11" t="n"/>
      <c r="N11" s="11" t="n"/>
      <c r="O11" s="16" t="n"/>
      <c r="P11" s="11">
        <f>IF(L11="","",TODAY()-L11)</f>
        <v/>
      </c>
      <c r="Q11" s="11" t="n"/>
      <c r="R11" s="17" t="n"/>
      <c r="S11" s="11" t="n"/>
      <c r="T11" s="13" t="inlineStr">
        <is>
          <t>✉️ Abrir correo</t>
        </is>
      </c>
      <c r="U11" s="13" t="inlineStr">
        <is>
          <t>↩️ Seguimiento</t>
        </is>
      </c>
      <c r="V11" s="13">
        <f>IF(A11="","",HYPERLINK("https://calendar.google.com/calendar/render?action=TEMPLATE&amp;text="&amp;"Racksa%3A%20"&amp;SUBSTITUTE(SUBSTITUTE(SUBSTITUTE(LEFT(B11,45),"&amp;","y")," ","%20"),"#","")&amp;"%20-%20seguimiento"&amp;"&amp;dates="&amp;YEAR(IF(O11="",TODAY()+3,O11))&amp;RIGHT("0"&amp;MONTH(IF(O11="",TODAY()+3,O11)),2)&amp;RIGHT("0"&amp;DAY(IF(O11="",TODAY()+3,O11)),2)&amp;"/"&amp;YEAR(IF(O11="",TODAY()+4,O11+1))&amp;RIGHT("0"&amp;MONTH(IF(O11="",TODAY()+4,O11+1)),2)&amp;RIGHT("0"&amp;DAY(IF(O11="",TODAY()+4,O11+1)),2),"📅 Agendar"))</f>
        <v/>
      </c>
    </row>
    <row r="12">
      <c r="A12" s="11" t="inlineStr">
        <is>
          <t>P011</t>
        </is>
      </c>
      <c r="B12" s="11">
        <f>IFERROR(INDEX(Prospectos!$F:$F,MATCH(A12,Prospectos!$A:$A,0)),"")</f>
        <v/>
      </c>
      <c r="C12" s="11">
        <f>IFERROR(INDEX(Prospectos!$D:$D,MATCH(A12,Prospectos!$A:$A,0)),"")</f>
        <v/>
      </c>
      <c r="D12" s="11">
        <f>IFERROR(INDEX(Prospectos!$B:$B,MATCH(A12,Prospectos!$A:$A,0)),"")</f>
        <v/>
      </c>
      <c r="E12" s="11" t="n"/>
      <c r="F12" s="11" t="n"/>
      <c r="G12" s="11" t="n"/>
      <c r="H12" s="11" t="n"/>
      <c r="I12" s="11" t="n"/>
      <c r="J12" s="11" t="inlineStr">
        <is>
          <t>Por contactar</t>
        </is>
      </c>
      <c r="K12" s="16" t="n"/>
      <c r="L12" s="16" t="n"/>
      <c r="M12" s="11" t="n"/>
      <c r="N12" s="11" t="n"/>
      <c r="O12" s="16" t="n"/>
      <c r="P12" s="11">
        <f>IF(L12="","",TODAY()-L12)</f>
        <v/>
      </c>
      <c r="Q12" s="11" t="n"/>
      <c r="R12" s="17" t="n"/>
      <c r="S12" s="11" t="n"/>
      <c r="T12" s="13" t="inlineStr">
        <is>
          <t>✉️ Abrir correo</t>
        </is>
      </c>
      <c r="U12" s="13" t="inlineStr">
        <is>
          <t>↩️ Seguimiento</t>
        </is>
      </c>
      <c r="V12" s="13">
        <f>IF(A12="","",HYPERLINK("https://calendar.google.com/calendar/render?action=TEMPLATE&amp;text="&amp;"Racksa%3A%20"&amp;SUBSTITUTE(SUBSTITUTE(SUBSTITUTE(LEFT(B12,45),"&amp;","y")," ","%20"),"#","")&amp;"%20-%20seguimiento"&amp;"&amp;dates="&amp;YEAR(IF(O12="",TODAY()+3,O12))&amp;RIGHT("0"&amp;MONTH(IF(O12="",TODAY()+3,O12)),2)&amp;RIGHT("0"&amp;DAY(IF(O12="",TODAY()+3,O12)),2)&amp;"/"&amp;YEAR(IF(O12="",TODAY()+4,O12+1))&amp;RIGHT("0"&amp;MONTH(IF(O12="",TODAY()+4,O12+1)),2)&amp;RIGHT("0"&amp;DAY(IF(O12="",TODAY()+4,O12+1)),2),"📅 Agendar"))</f>
        <v/>
      </c>
    </row>
    <row r="13">
      <c r="A13" s="11" t="inlineStr">
        <is>
          <t>P012</t>
        </is>
      </c>
      <c r="B13" s="11">
        <f>IFERROR(INDEX(Prospectos!$F:$F,MATCH(A13,Prospectos!$A:$A,0)),"")</f>
        <v/>
      </c>
      <c r="C13" s="11">
        <f>IFERROR(INDEX(Prospectos!$D:$D,MATCH(A13,Prospectos!$A:$A,0)),"")</f>
        <v/>
      </c>
      <c r="D13" s="11">
        <f>IFERROR(INDEX(Prospectos!$B:$B,MATCH(A13,Prospectos!$A:$A,0)),"")</f>
        <v/>
      </c>
      <c r="E13" s="11" t="n"/>
      <c r="F13" s="11" t="n"/>
      <c r="G13" s="11" t="n"/>
      <c r="H13" s="11" t="n"/>
      <c r="I13" s="11" t="n"/>
      <c r="J13" s="11" t="inlineStr">
        <is>
          <t>Por contactar</t>
        </is>
      </c>
      <c r="K13" s="16" t="n"/>
      <c r="L13" s="16" t="n"/>
      <c r="M13" s="11" t="n"/>
      <c r="N13" s="11" t="n"/>
      <c r="O13" s="16" t="n"/>
      <c r="P13" s="11">
        <f>IF(L13="","",TODAY()-L13)</f>
        <v/>
      </c>
      <c r="Q13" s="11" t="n"/>
      <c r="R13" s="17" t="n"/>
      <c r="S13" s="11" t="n"/>
      <c r="T13" s="13" t="inlineStr">
        <is>
          <t>✉️ Abrir correo</t>
        </is>
      </c>
      <c r="U13" s="13" t="inlineStr">
        <is>
          <t>↩️ Seguimiento</t>
        </is>
      </c>
      <c r="V13" s="13">
        <f>IF(A13="","",HYPERLINK("https://calendar.google.com/calendar/render?action=TEMPLATE&amp;text="&amp;"Racksa%3A%20"&amp;SUBSTITUTE(SUBSTITUTE(SUBSTITUTE(LEFT(B13,45),"&amp;","y")," ","%20"),"#","")&amp;"%20-%20seguimiento"&amp;"&amp;dates="&amp;YEAR(IF(O13="",TODAY()+3,O13))&amp;RIGHT("0"&amp;MONTH(IF(O13="",TODAY()+3,O13)),2)&amp;RIGHT("0"&amp;DAY(IF(O13="",TODAY()+3,O13)),2)&amp;"/"&amp;YEAR(IF(O13="",TODAY()+4,O13+1))&amp;RIGHT("0"&amp;MONTH(IF(O13="",TODAY()+4,O13+1)),2)&amp;RIGHT("0"&amp;DAY(IF(O13="",TODAY()+4,O13+1)),2),"📅 Agendar"))</f>
        <v/>
      </c>
    </row>
    <row r="14">
      <c r="A14" s="11" t="inlineStr">
        <is>
          <t>P013</t>
        </is>
      </c>
      <c r="B14" s="11">
        <f>IFERROR(INDEX(Prospectos!$F:$F,MATCH(A14,Prospectos!$A:$A,0)),"")</f>
        <v/>
      </c>
      <c r="C14" s="11">
        <f>IFERROR(INDEX(Prospectos!$D:$D,MATCH(A14,Prospectos!$A:$A,0)),"")</f>
        <v/>
      </c>
      <c r="D14" s="11">
        <f>IFERROR(INDEX(Prospectos!$B:$B,MATCH(A14,Prospectos!$A:$A,0)),"")</f>
        <v/>
      </c>
      <c r="E14" s="11" t="n"/>
      <c r="F14" s="11" t="n"/>
      <c r="G14" s="11" t="n"/>
      <c r="H14" s="11" t="n"/>
      <c r="I14" s="11" t="n"/>
      <c r="J14" s="11" t="inlineStr">
        <is>
          <t>Por contactar</t>
        </is>
      </c>
      <c r="K14" s="16" t="n"/>
      <c r="L14" s="16" t="n"/>
      <c r="M14" s="11" t="n"/>
      <c r="N14" s="11" t="n"/>
      <c r="O14" s="16" t="n"/>
      <c r="P14" s="11">
        <f>IF(L14="","",TODAY()-L14)</f>
        <v/>
      </c>
      <c r="Q14" s="11" t="n"/>
      <c r="R14" s="17" t="n"/>
      <c r="S14" s="11" t="n"/>
      <c r="T14" s="13" t="inlineStr">
        <is>
          <t>✉️ Abrir correo</t>
        </is>
      </c>
      <c r="U14" s="13" t="inlineStr">
        <is>
          <t>↩️ Seguimiento</t>
        </is>
      </c>
      <c r="V14" s="13">
        <f>IF(A14="","",HYPERLINK("https://calendar.google.com/calendar/render?action=TEMPLATE&amp;text="&amp;"Racksa%3A%20"&amp;SUBSTITUTE(SUBSTITUTE(SUBSTITUTE(LEFT(B14,45),"&amp;","y")," ","%20"),"#","")&amp;"%20-%20seguimiento"&amp;"&amp;dates="&amp;YEAR(IF(O14="",TODAY()+3,O14))&amp;RIGHT("0"&amp;MONTH(IF(O14="",TODAY()+3,O14)),2)&amp;RIGHT("0"&amp;DAY(IF(O14="",TODAY()+3,O14)),2)&amp;"/"&amp;YEAR(IF(O14="",TODAY()+4,O14+1))&amp;RIGHT("0"&amp;MONTH(IF(O14="",TODAY()+4,O14+1)),2)&amp;RIGHT("0"&amp;DAY(IF(O14="",TODAY()+4,O14+1)),2),"📅 Agendar"))</f>
        <v/>
      </c>
    </row>
    <row r="15">
      <c r="A15" s="11" t="inlineStr">
        <is>
          <t>P014</t>
        </is>
      </c>
      <c r="B15" s="11">
        <f>IFERROR(INDEX(Prospectos!$F:$F,MATCH(A15,Prospectos!$A:$A,0)),"")</f>
        <v/>
      </c>
      <c r="C15" s="11">
        <f>IFERROR(INDEX(Prospectos!$D:$D,MATCH(A15,Prospectos!$A:$A,0)),"")</f>
        <v/>
      </c>
      <c r="D15" s="11">
        <f>IFERROR(INDEX(Prospectos!$B:$B,MATCH(A15,Prospectos!$A:$A,0)),"")</f>
        <v/>
      </c>
      <c r="E15" s="11" t="n"/>
      <c r="F15" s="11" t="n"/>
      <c r="G15" s="11" t="n"/>
      <c r="H15" s="11" t="n"/>
      <c r="I15" s="11" t="n"/>
      <c r="J15" s="11" t="inlineStr">
        <is>
          <t>Por contactar</t>
        </is>
      </c>
      <c r="K15" s="16" t="n"/>
      <c r="L15" s="16" t="n"/>
      <c r="M15" s="11" t="n"/>
      <c r="N15" s="11" t="n"/>
      <c r="O15" s="16" t="n"/>
      <c r="P15" s="11">
        <f>IF(L15="","",TODAY()-L15)</f>
        <v/>
      </c>
      <c r="Q15" s="11" t="n"/>
      <c r="R15" s="17" t="n"/>
      <c r="S15" s="11" t="n"/>
      <c r="T15" s="13" t="inlineStr">
        <is>
          <t>✉️ Abrir correo</t>
        </is>
      </c>
      <c r="U15" s="13" t="inlineStr">
        <is>
          <t>↩️ Seguimiento</t>
        </is>
      </c>
      <c r="V15" s="13">
        <f>IF(A15="","",HYPERLINK("https://calendar.google.com/calendar/render?action=TEMPLATE&amp;text="&amp;"Racksa%3A%20"&amp;SUBSTITUTE(SUBSTITUTE(SUBSTITUTE(LEFT(B15,45),"&amp;","y")," ","%20"),"#","")&amp;"%20-%20seguimiento"&amp;"&amp;dates="&amp;YEAR(IF(O15="",TODAY()+3,O15))&amp;RIGHT("0"&amp;MONTH(IF(O15="",TODAY()+3,O15)),2)&amp;RIGHT("0"&amp;DAY(IF(O15="",TODAY()+3,O15)),2)&amp;"/"&amp;YEAR(IF(O15="",TODAY()+4,O15+1))&amp;RIGHT("0"&amp;MONTH(IF(O15="",TODAY()+4,O15+1)),2)&amp;RIGHT("0"&amp;DAY(IF(O15="",TODAY()+4,O15+1)),2),"📅 Agendar"))</f>
        <v/>
      </c>
    </row>
    <row r="16">
      <c r="A16" s="11" t="inlineStr">
        <is>
          <t>P015</t>
        </is>
      </c>
      <c r="B16" s="11">
        <f>IFERROR(INDEX(Prospectos!$F:$F,MATCH(A16,Prospectos!$A:$A,0)),"")</f>
        <v/>
      </c>
      <c r="C16" s="11">
        <f>IFERROR(INDEX(Prospectos!$D:$D,MATCH(A16,Prospectos!$A:$A,0)),"")</f>
        <v/>
      </c>
      <c r="D16" s="11">
        <f>IFERROR(INDEX(Prospectos!$B:$B,MATCH(A16,Prospectos!$A:$A,0)),"")</f>
        <v/>
      </c>
      <c r="E16" s="11" t="n"/>
      <c r="F16" s="11" t="n"/>
      <c r="G16" s="11" t="n"/>
      <c r="H16" s="11" t="n"/>
      <c r="I16" s="11" t="n"/>
      <c r="J16" s="11" t="inlineStr">
        <is>
          <t>Por contactar</t>
        </is>
      </c>
      <c r="K16" s="16" t="n"/>
      <c r="L16" s="16" t="n"/>
      <c r="M16" s="11" t="n"/>
      <c r="N16" s="11" t="n"/>
      <c r="O16" s="16" t="n"/>
      <c r="P16" s="11">
        <f>IF(L16="","",TODAY()-L16)</f>
        <v/>
      </c>
      <c r="Q16" s="11" t="n"/>
      <c r="R16" s="17" t="n"/>
      <c r="S16" s="11" t="n"/>
      <c r="T16" s="13" t="inlineStr">
        <is>
          <t>✉️ Abrir correo</t>
        </is>
      </c>
      <c r="U16" s="13" t="inlineStr">
        <is>
          <t>↩️ Seguimiento</t>
        </is>
      </c>
      <c r="V16" s="13">
        <f>IF(A16="","",HYPERLINK("https://calendar.google.com/calendar/render?action=TEMPLATE&amp;text="&amp;"Racksa%3A%20"&amp;SUBSTITUTE(SUBSTITUTE(SUBSTITUTE(LEFT(B16,45),"&amp;","y")," ","%20"),"#","")&amp;"%20-%20seguimiento"&amp;"&amp;dates="&amp;YEAR(IF(O16="",TODAY()+3,O16))&amp;RIGHT("0"&amp;MONTH(IF(O16="",TODAY()+3,O16)),2)&amp;RIGHT("0"&amp;DAY(IF(O16="",TODAY()+3,O16)),2)&amp;"/"&amp;YEAR(IF(O16="",TODAY()+4,O16+1))&amp;RIGHT("0"&amp;MONTH(IF(O16="",TODAY()+4,O16+1)),2)&amp;RIGHT("0"&amp;DAY(IF(O16="",TODAY()+4,O16+1)),2),"📅 Agendar"))</f>
        <v/>
      </c>
    </row>
    <row r="17">
      <c r="A17" s="11" t="inlineStr">
        <is>
          <t>P016</t>
        </is>
      </c>
      <c r="B17" s="11">
        <f>IFERROR(INDEX(Prospectos!$F:$F,MATCH(A17,Prospectos!$A:$A,0)),"")</f>
        <v/>
      </c>
      <c r="C17" s="11">
        <f>IFERROR(INDEX(Prospectos!$D:$D,MATCH(A17,Prospectos!$A:$A,0)),"")</f>
        <v/>
      </c>
      <c r="D17" s="11">
        <f>IFERROR(INDEX(Prospectos!$B:$B,MATCH(A17,Prospectos!$A:$A,0)),"")</f>
        <v/>
      </c>
      <c r="E17" s="11" t="n"/>
      <c r="F17" s="11" t="n"/>
      <c r="G17" s="11" t="n"/>
      <c r="H17" s="11" t="n"/>
      <c r="I17" s="11" t="n"/>
      <c r="J17" s="11" t="inlineStr">
        <is>
          <t>Por contactar</t>
        </is>
      </c>
      <c r="K17" s="16" t="n"/>
      <c r="L17" s="16" t="n"/>
      <c r="M17" s="11" t="n"/>
      <c r="N17" s="11" t="n"/>
      <c r="O17" s="16" t="n"/>
      <c r="P17" s="11">
        <f>IF(L17="","",TODAY()-L17)</f>
        <v/>
      </c>
      <c r="Q17" s="11" t="n"/>
      <c r="R17" s="17" t="n"/>
      <c r="S17" s="11" t="n"/>
      <c r="T17" s="13" t="inlineStr">
        <is>
          <t>✉️ Abrir correo</t>
        </is>
      </c>
      <c r="U17" s="13" t="inlineStr">
        <is>
          <t>↩️ Seguimiento</t>
        </is>
      </c>
      <c r="V17" s="13">
        <f>IF(A17="","",HYPERLINK("https://calendar.google.com/calendar/render?action=TEMPLATE&amp;text="&amp;"Racksa%3A%20"&amp;SUBSTITUTE(SUBSTITUTE(SUBSTITUTE(LEFT(B17,45),"&amp;","y")," ","%20"),"#","")&amp;"%20-%20seguimiento"&amp;"&amp;dates="&amp;YEAR(IF(O17="",TODAY()+3,O17))&amp;RIGHT("0"&amp;MONTH(IF(O17="",TODAY()+3,O17)),2)&amp;RIGHT("0"&amp;DAY(IF(O17="",TODAY()+3,O17)),2)&amp;"/"&amp;YEAR(IF(O17="",TODAY()+4,O17+1))&amp;RIGHT("0"&amp;MONTH(IF(O17="",TODAY()+4,O17+1)),2)&amp;RIGHT("0"&amp;DAY(IF(O17="",TODAY()+4,O17+1)),2),"📅 Agendar"))</f>
        <v/>
      </c>
    </row>
    <row r="18">
      <c r="A18" s="11" t="inlineStr">
        <is>
          <t>P017</t>
        </is>
      </c>
      <c r="B18" s="11">
        <f>IFERROR(INDEX(Prospectos!$F:$F,MATCH(A18,Prospectos!$A:$A,0)),"")</f>
        <v/>
      </c>
      <c r="C18" s="11">
        <f>IFERROR(INDEX(Prospectos!$D:$D,MATCH(A18,Prospectos!$A:$A,0)),"")</f>
        <v/>
      </c>
      <c r="D18" s="11">
        <f>IFERROR(INDEX(Prospectos!$B:$B,MATCH(A18,Prospectos!$A:$A,0)),"")</f>
        <v/>
      </c>
      <c r="E18" s="11" t="n"/>
      <c r="F18" s="11" t="n"/>
      <c r="G18" s="11" t="n"/>
      <c r="H18" s="11" t="n"/>
      <c r="I18" s="11" t="n"/>
      <c r="J18" s="11" t="inlineStr">
        <is>
          <t>Por contactar</t>
        </is>
      </c>
      <c r="K18" s="16" t="n"/>
      <c r="L18" s="16" t="n"/>
      <c r="M18" s="11" t="n"/>
      <c r="N18" s="11" t="n"/>
      <c r="O18" s="16" t="n"/>
      <c r="P18" s="11">
        <f>IF(L18="","",TODAY()-L18)</f>
        <v/>
      </c>
      <c r="Q18" s="11" t="n"/>
      <c r="R18" s="17" t="n"/>
      <c r="S18" s="11" t="n"/>
      <c r="T18" s="13" t="inlineStr">
        <is>
          <t>✉️ Abrir correo</t>
        </is>
      </c>
      <c r="U18" s="13" t="inlineStr">
        <is>
          <t>↩️ Seguimiento</t>
        </is>
      </c>
      <c r="V18" s="13">
        <f>IF(A18="","",HYPERLINK("https://calendar.google.com/calendar/render?action=TEMPLATE&amp;text="&amp;"Racksa%3A%20"&amp;SUBSTITUTE(SUBSTITUTE(SUBSTITUTE(LEFT(B18,45),"&amp;","y")," ","%20"),"#","")&amp;"%20-%20seguimiento"&amp;"&amp;dates="&amp;YEAR(IF(O18="",TODAY()+3,O18))&amp;RIGHT("0"&amp;MONTH(IF(O18="",TODAY()+3,O18)),2)&amp;RIGHT("0"&amp;DAY(IF(O18="",TODAY()+3,O18)),2)&amp;"/"&amp;YEAR(IF(O18="",TODAY()+4,O18+1))&amp;RIGHT("0"&amp;MONTH(IF(O18="",TODAY()+4,O18+1)),2)&amp;RIGHT("0"&amp;DAY(IF(O18="",TODAY()+4,O18+1)),2),"📅 Agendar"))</f>
        <v/>
      </c>
    </row>
    <row r="19">
      <c r="A19" s="11" t="inlineStr">
        <is>
          <t>P018</t>
        </is>
      </c>
      <c r="B19" s="11">
        <f>IFERROR(INDEX(Prospectos!$F:$F,MATCH(A19,Prospectos!$A:$A,0)),"")</f>
        <v/>
      </c>
      <c r="C19" s="11">
        <f>IFERROR(INDEX(Prospectos!$D:$D,MATCH(A19,Prospectos!$A:$A,0)),"")</f>
        <v/>
      </c>
      <c r="D19" s="11">
        <f>IFERROR(INDEX(Prospectos!$B:$B,MATCH(A19,Prospectos!$A:$A,0)),"")</f>
        <v/>
      </c>
      <c r="E19" s="11" t="n"/>
      <c r="F19" s="11" t="n"/>
      <c r="G19" s="11" t="n"/>
      <c r="H19" s="11" t="n"/>
      <c r="I19" s="11" t="n"/>
      <c r="J19" s="11" t="inlineStr">
        <is>
          <t>Por contactar</t>
        </is>
      </c>
      <c r="K19" s="16" t="n"/>
      <c r="L19" s="16" t="n"/>
      <c r="M19" s="11" t="n"/>
      <c r="N19" s="11" t="n"/>
      <c r="O19" s="16" t="n"/>
      <c r="P19" s="11">
        <f>IF(L19="","",TODAY()-L19)</f>
        <v/>
      </c>
      <c r="Q19" s="11" t="n"/>
      <c r="R19" s="17" t="n"/>
      <c r="S19" s="11" t="n"/>
      <c r="T19" s="13" t="inlineStr">
        <is>
          <t>✉️ Abrir correo</t>
        </is>
      </c>
      <c r="U19" s="13" t="inlineStr">
        <is>
          <t>↩️ Seguimiento</t>
        </is>
      </c>
      <c r="V19" s="13">
        <f>IF(A19="","",HYPERLINK("https://calendar.google.com/calendar/render?action=TEMPLATE&amp;text="&amp;"Racksa%3A%20"&amp;SUBSTITUTE(SUBSTITUTE(SUBSTITUTE(LEFT(B19,45),"&amp;","y")," ","%20"),"#","")&amp;"%20-%20seguimiento"&amp;"&amp;dates="&amp;YEAR(IF(O19="",TODAY()+3,O19))&amp;RIGHT("0"&amp;MONTH(IF(O19="",TODAY()+3,O19)),2)&amp;RIGHT("0"&amp;DAY(IF(O19="",TODAY()+3,O19)),2)&amp;"/"&amp;YEAR(IF(O19="",TODAY()+4,O19+1))&amp;RIGHT("0"&amp;MONTH(IF(O19="",TODAY()+4,O19+1)),2)&amp;RIGHT("0"&amp;DAY(IF(O19="",TODAY()+4,O19+1)),2),"📅 Agendar"))</f>
        <v/>
      </c>
    </row>
    <row r="20">
      <c r="A20" s="11" t="inlineStr">
        <is>
          <t>P019</t>
        </is>
      </c>
      <c r="B20" s="11">
        <f>IFERROR(INDEX(Prospectos!$F:$F,MATCH(A20,Prospectos!$A:$A,0)),"")</f>
        <v/>
      </c>
      <c r="C20" s="11">
        <f>IFERROR(INDEX(Prospectos!$D:$D,MATCH(A20,Prospectos!$A:$A,0)),"")</f>
        <v/>
      </c>
      <c r="D20" s="11">
        <f>IFERROR(INDEX(Prospectos!$B:$B,MATCH(A20,Prospectos!$A:$A,0)),"")</f>
        <v/>
      </c>
      <c r="E20" s="11" t="n"/>
      <c r="F20" s="11" t="n"/>
      <c r="G20" s="11" t="n"/>
      <c r="H20" s="11" t="inlineStr">
        <is>
          <t>ventasgye@novacero.com</t>
        </is>
      </c>
      <c r="I20" s="11" t="inlineStr">
        <is>
          <t>Correo</t>
        </is>
      </c>
      <c r="J20" s="11" t="inlineStr">
        <is>
          <t>Por contactar</t>
        </is>
      </c>
      <c r="K20" s="16" t="n"/>
      <c r="L20" s="16" t="n"/>
      <c r="M20" s="11" t="n"/>
      <c r="N20" s="11" t="n"/>
      <c r="O20" s="16" t="n"/>
      <c r="P20" s="11">
        <f>IF(L20="","",TODAY()-L20)</f>
        <v/>
      </c>
      <c r="Q20" s="11" t="n"/>
      <c r="R20" s="17" t="n"/>
      <c r="S20" s="11" t="n"/>
      <c r="T20" s="13" t="inlineStr">
        <is>
          <t>✉️ Abrir correo</t>
        </is>
      </c>
      <c r="U20" s="13" t="inlineStr">
        <is>
          <t>↩️ Seguimiento</t>
        </is>
      </c>
      <c r="V20" s="13">
        <f>IF(A20="","",HYPERLINK("https://calendar.google.com/calendar/render?action=TEMPLATE&amp;text="&amp;"Racksa%3A%20"&amp;SUBSTITUTE(SUBSTITUTE(SUBSTITUTE(LEFT(B20,45),"&amp;","y")," ","%20"),"#","")&amp;"%20-%20seguimiento"&amp;"&amp;dates="&amp;YEAR(IF(O20="",TODAY()+3,O20))&amp;RIGHT("0"&amp;MONTH(IF(O20="",TODAY()+3,O20)),2)&amp;RIGHT("0"&amp;DAY(IF(O20="",TODAY()+3,O20)),2)&amp;"/"&amp;YEAR(IF(O20="",TODAY()+4,O20+1))&amp;RIGHT("0"&amp;MONTH(IF(O20="",TODAY()+4,O20+1)),2)&amp;RIGHT("0"&amp;DAY(IF(O20="",TODAY()+4,O20+1)),2),"📅 Agendar"))</f>
        <v/>
      </c>
    </row>
    <row r="21">
      <c r="A21" s="11" t="inlineStr">
        <is>
          <t>P020</t>
        </is>
      </c>
      <c r="B21" s="11">
        <f>IFERROR(INDEX(Prospectos!$F:$F,MATCH(A21,Prospectos!$A:$A,0)),"")</f>
        <v/>
      </c>
      <c r="C21" s="11">
        <f>IFERROR(INDEX(Prospectos!$D:$D,MATCH(A21,Prospectos!$A:$A,0)),"")</f>
        <v/>
      </c>
      <c r="D21" s="11">
        <f>IFERROR(INDEX(Prospectos!$B:$B,MATCH(A21,Prospectos!$A:$A,0)),"")</f>
        <v/>
      </c>
      <c r="E21" s="11" t="n"/>
      <c r="F21" s="11" t="n"/>
      <c r="G21" s="11" t="n"/>
      <c r="H21" s="11" t="n"/>
      <c r="I21" s="11" t="n"/>
      <c r="J21" s="11" t="inlineStr">
        <is>
          <t>Por contactar</t>
        </is>
      </c>
      <c r="K21" s="16" t="n"/>
      <c r="L21" s="16" t="n"/>
      <c r="M21" s="11" t="n"/>
      <c r="N21" s="11" t="n"/>
      <c r="O21" s="16" t="n"/>
      <c r="P21" s="11">
        <f>IF(L21="","",TODAY()-L21)</f>
        <v/>
      </c>
      <c r="Q21" s="11" t="n"/>
      <c r="R21" s="17" t="n"/>
      <c r="S21" s="11" t="n"/>
      <c r="T21" s="13" t="inlineStr">
        <is>
          <t>✉️ Abrir correo</t>
        </is>
      </c>
      <c r="U21" s="13" t="inlineStr">
        <is>
          <t>↩️ Seguimiento</t>
        </is>
      </c>
      <c r="V21" s="13">
        <f>IF(A21="","",HYPERLINK("https://calendar.google.com/calendar/render?action=TEMPLATE&amp;text="&amp;"Racksa%3A%20"&amp;SUBSTITUTE(SUBSTITUTE(SUBSTITUTE(LEFT(B21,45),"&amp;","y")," ","%20"),"#","")&amp;"%20-%20seguimiento"&amp;"&amp;dates="&amp;YEAR(IF(O21="",TODAY()+3,O21))&amp;RIGHT("0"&amp;MONTH(IF(O21="",TODAY()+3,O21)),2)&amp;RIGHT("0"&amp;DAY(IF(O21="",TODAY()+3,O21)),2)&amp;"/"&amp;YEAR(IF(O21="",TODAY()+4,O21+1))&amp;RIGHT("0"&amp;MONTH(IF(O21="",TODAY()+4,O21+1)),2)&amp;RIGHT("0"&amp;DAY(IF(O21="",TODAY()+4,O21+1)),2),"📅 Agendar"))</f>
        <v/>
      </c>
    </row>
    <row r="22">
      <c r="A22" s="11" t="inlineStr">
        <is>
          <t>P021</t>
        </is>
      </c>
      <c r="B22" s="11">
        <f>IFERROR(INDEX(Prospectos!$F:$F,MATCH(A22,Prospectos!$A:$A,0)),"")</f>
        <v/>
      </c>
      <c r="C22" s="11">
        <f>IFERROR(INDEX(Prospectos!$D:$D,MATCH(A22,Prospectos!$A:$A,0)),"")</f>
        <v/>
      </c>
      <c r="D22" s="11">
        <f>IFERROR(INDEX(Prospectos!$B:$B,MATCH(A22,Prospectos!$A:$A,0)),"")</f>
        <v/>
      </c>
      <c r="E22" s="11" t="n"/>
      <c r="F22" s="11" t="n"/>
      <c r="G22" s="11" t="n"/>
      <c r="H22" s="11" t="n"/>
      <c r="I22" s="11" t="n"/>
      <c r="J22" s="11" t="inlineStr">
        <is>
          <t>Por contactar</t>
        </is>
      </c>
      <c r="K22" s="16" t="n"/>
      <c r="L22" s="16" t="n"/>
      <c r="M22" s="11" t="n"/>
      <c r="N22" s="11" t="n"/>
      <c r="O22" s="16" t="n"/>
      <c r="P22" s="11">
        <f>IF(L22="","",TODAY()-L22)</f>
        <v/>
      </c>
      <c r="Q22" s="11" t="n"/>
      <c r="R22" s="17" t="n"/>
      <c r="S22" s="11" t="n"/>
      <c r="T22" s="13" t="inlineStr">
        <is>
          <t>✉️ Abrir correo</t>
        </is>
      </c>
      <c r="U22" s="13" t="inlineStr">
        <is>
          <t>↩️ Seguimiento</t>
        </is>
      </c>
      <c r="V22" s="13">
        <f>IF(A22="","",HYPERLINK("https://calendar.google.com/calendar/render?action=TEMPLATE&amp;text="&amp;"Racksa%3A%20"&amp;SUBSTITUTE(SUBSTITUTE(SUBSTITUTE(LEFT(B22,45),"&amp;","y")," ","%20"),"#","")&amp;"%20-%20seguimiento"&amp;"&amp;dates="&amp;YEAR(IF(O22="",TODAY()+3,O22))&amp;RIGHT("0"&amp;MONTH(IF(O22="",TODAY()+3,O22)),2)&amp;RIGHT("0"&amp;DAY(IF(O22="",TODAY()+3,O22)),2)&amp;"/"&amp;YEAR(IF(O22="",TODAY()+4,O22+1))&amp;RIGHT("0"&amp;MONTH(IF(O22="",TODAY()+4,O22+1)),2)&amp;RIGHT("0"&amp;DAY(IF(O22="",TODAY()+4,O22+1)),2),"📅 Agendar"))</f>
        <v/>
      </c>
    </row>
    <row r="23">
      <c r="A23" s="11" t="inlineStr">
        <is>
          <t>P022</t>
        </is>
      </c>
      <c r="B23" s="11">
        <f>IFERROR(INDEX(Prospectos!$F:$F,MATCH(A23,Prospectos!$A:$A,0)),"")</f>
        <v/>
      </c>
      <c r="C23" s="11">
        <f>IFERROR(INDEX(Prospectos!$D:$D,MATCH(A23,Prospectos!$A:$A,0)),"")</f>
        <v/>
      </c>
      <c r="D23" s="11">
        <f>IFERROR(INDEX(Prospectos!$B:$B,MATCH(A23,Prospectos!$A:$A,0)),"")</f>
        <v/>
      </c>
      <c r="E23" s="11" t="n"/>
      <c r="F23" s="11" t="n"/>
      <c r="G23" s="11" t="n"/>
      <c r="H23" s="11" t="n"/>
      <c r="I23" s="11" t="n"/>
      <c r="J23" s="11" t="inlineStr">
        <is>
          <t>Por contactar</t>
        </is>
      </c>
      <c r="K23" s="16" t="n"/>
      <c r="L23" s="16" t="n"/>
      <c r="M23" s="11" t="n"/>
      <c r="N23" s="11" t="n"/>
      <c r="O23" s="16" t="n"/>
      <c r="P23" s="11">
        <f>IF(L23="","",TODAY()-L23)</f>
        <v/>
      </c>
      <c r="Q23" s="11" t="n"/>
      <c r="R23" s="17" t="n"/>
      <c r="S23" s="11" t="n"/>
      <c r="T23" s="13" t="inlineStr">
        <is>
          <t>✉️ Abrir correo</t>
        </is>
      </c>
      <c r="U23" s="13" t="inlineStr">
        <is>
          <t>↩️ Seguimiento</t>
        </is>
      </c>
      <c r="V23" s="13">
        <f>IF(A23="","",HYPERLINK("https://calendar.google.com/calendar/render?action=TEMPLATE&amp;text="&amp;"Racksa%3A%20"&amp;SUBSTITUTE(SUBSTITUTE(SUBSTITUTE(LEFT(B23,45),"&amp;","y")," ","%20"),"#","")&amp;"%20-%20seguimiento"&amp;"&amp;dates="&amp;YEAR(IF(O23="",TODAY()+3,O23))&amp;RIGHT("0"&amp;MONTH(IF(O23="",TODAY()+3,O23)),2)&amp;RIGHT("0"&amp;DAY(IF(O23="",TODAY()+3,O23)),2)&amp;"/"&amp;YEAR(IF(O23="",TODAY()+4,O23+1))&amp;RIGHT("0"&amp;MONTH(IF(O23="",TODAY()+4,O23+1)),2)&amp;RIGHT("0"&amp;DAY(IF(O23="",TODAY()+4,O23+1)),2),"📅 Agendar"))</f>
        <v/>
      </c>
    </row>
    <row r="24">
      <c r="A24" s="11" t="inlineStr">
        <is>
          <t>P023</t>
        </is>
      </c>
      <c r="B24" s="11">
        <f>IFERROR(INDEX(Prospectos!$F:$F,MATCH(A24,Prospectos!$A:$A,0)),"")</f>
        <v/>
      </c>
      <c r="C24" s="11">
        <f>IFERROR(INDEX(Prospectos!$D:$D,MATCH(A24,Prospectos!$A:$A,0)),"")</f>
        <v/>
      </c>
      <c r="D24" s="11">
        <f>IFERROR(INDEX(Prospectos!$B:$B,MATCH(A24,Prospectos!$A:$A,0)),"")</f>
        <v/>
      </c>
      <c r="E24" s="11" t="n"/>
      <c r="F24" s="11" t="n"/>
      <c r="G24" s="11" t="n"/>
      <c r="H24" s="11" t="inlineStr">
        <is>
          <t>servicioalcliente@farmaenlace.com</t>
        </is>
      </c>
      <c r="I24" s="11" t="inlineStr">
        <is>
          <t>Correo</t>
        </is>
      </c>
      <c r="J24" s="11" t="inlineStr">
        <is>
          <t>Por contactar</t>
        </is>
      </c>
      <c r="K24" s="16" t="n"/>
      <c r="L24" s="16" t="n"/>
      <c r="M24" s="11" t="n"/>
      <c r="N24" s="11" t="n"/>
      <c r="O24" s="16" t="n"/>
      <c r="P24" s="11">
        <f>IF(L24="","",TODAY()-L24)</f>
        <v/>
      </c>
      <c r="Q24" s="11" t="n"/>
      <c r="R24" s="17" t="n"/>
      <c r="S24" s="11" t="n"/>
      <c r="T24" s="13" t="inlineStr">
        <is>
          <t>✉️ Abrir correo</t>
        </is>
      </c>
      <c r="U24" s="13" t="inlineStr">
        <is>
          <t>↩️ Seguimiento</t>
        </is>
      </c>
      <c r="V24" s="13">
        <f>IF(A24="","",HYPERLINK("https://calendar.google.com/calendar/render?action=TEMPLATE&amp;text="&amp;"Racksa%3A%20"&amp;SUBSTITUTE(SUBSTITUTE(SUBSTITUTE(LEFT(B24,45),"&amp;","y")," ","%20"),"#","")&amp;"%20-%20seguimiento"&amp;"&amp;dates="&amp;YEAR(IF(O24="",TODAY()+3,O24))&amp;RIGHT("0"&amp;MONTH(IF(O24="",TODAY()+3,O24)),2)&amp;RIGHT("0"&amp;DAY(IF(O24="",TODAY()+3,O24)),2)&amp;"/"&amp;YEAR(IF(O24="",TODAY()+4,O24+1))&amp;RIGHT("0"&amp;MONTH(IF(O24="",TODAY()+4,O24+1)),2)&amp;RIGHT("0"&amp;DAY(IF(O24="",TODAY()+4,O24+1)),2),"📅 Agendar"))</f>
        <v/>
      </c>
    </row>
    <row r="25">
      <c r="A25" s="11" t="inlineStr">
        <is>
          <t>P024</t>
        </is>
      </c>
      <c r="B25" s="11">
        <f>IFERROR(INDEX(Prospectos!$F:$F,MATCH(A25,Prospectos!$A:$A,0)),"")</f>
        <v/>
      </c>
      <c r="C25" s="11">
        <f>IFERROR(INDEX(Prospectos!$D:$D,MATCH(A25,Prospectos!$A:$A,0)),"")</f>
        <v/>
      </c>
      <c r="D25" s="11">
        <f>IFERROR(INDEX(Prospectos!$B:$B,MATCH(A25,Prospectos!$A:$A,0)),"")</f>
        <v/>
      </c>
      <c r="E25" s="11" t="n"/>
      <c r="F25" s="11" t="n"/>
      <c r="G25" s="11" t="n"/>
      <c r="H25" s="11" t="n"/>
      <c r="I25" s="11" t="n"/>
      <c r="J25" s="11" t="inlineStr">
        <is>
          <t>Por contactar</t>
        </is>
      </c>
      <c r="K25" s="16" t="n"/>
      <c r="L25" s="16" t="n"/>
      <c r="M25" s="11" t="n"/>
      <c r="N25" s="11" t="n"/>
      <c r="O25" s="16" t="n"/>
      <c r="P25" s="11">
        <f>IF(L25="","",TODAY()-L25)</f>
        <v/>
      </c>
      <c r="Q25" s="11" t="n"/>
      <c r="R25" s="17" t="n"/>
      <c r="S25" s="11" t="n"/>
      <c r="T25" s="13" t="inlineStr">
        <is>
          <t>✉️ Abrir correo</t>
        </is>
      </c>
      <c r="U25" s="13" t="inlineStr">
        <is>
          <t>↩️ Seguimiento</t>
        </is>
      </c>
      <c r="V25" s="13">
        <f>IF(A25="","",HYPERLINK("https://calendar.google.com/calendar/render?action=TEMPLATE&amp;text="&amp;"Racksa%3A%20"&amp;SUBSTITUTE(SUBSTITUTE(SUBSTITUTE(LEFT(B25,45),"&amp;","y")," ","%20"),"#","")&amp;"%20-%20seguimiento"&amp;"&amp;dates="&amp;YEAR(IF(O25="",TODAY()+3,O25))&amp;RIGHT("0"&amp;MONTH(IF(O25="",TODAY()+3,O25)),2)&amp;RIGHT("0"&amp;DAY(IF(O25="",TODAY()+3,O25)),2)&amp;"/"&amp;YEAR(IF(O25="",TODAY()+4,O25+1))&amp;RIGHT("0"&amp;MONTH(IF(O25="",TODAY()+4,O25+1)),2)&amp;RIGHT("0"&amp;DAY(IF(O25="",TODAY()+4,O25+1)),2),"📅 Agendar"))</f>
        <v/>
      </c>
    </row>
    <row r="26">
      <c r="A26" s="11" t="inlineStr">
        <is>
          <t>P025</t>
        </is>
      </c>
      <c r="B26" s="11">
        <f>IFERROR(INDEX(Prospectos!$F:$F,MATCH(A26,Prospectos!$A:$A,0)),"")</f>
        <v/>
      </c>
      <c r="C26" s="11">
        <f>IFERROR(INDEX(Prospectos!$D:$D,MATCH(A26,Prospectos!$A:$A,0)),"")</f>
        <v/>
      </c>
      <c r="D26" s="11">
        <f>IFERROR(INDEX(Prospectos!$B:$B,MATCH(A26,Prospectos!$A:$A,0)),"")</f>
        <v/>
      </c>
      <c r="E26" s="11" t="n"/>
      <c r="F26" s="11" t="n"/>
      <c r="G26" s="11" t="n"/>
      <c r="H26" s="11" t="n"/>
      <c r="I26" s="11" t="n"/>
      <c r="J26" s="11" t="inlineStr">
        <is>
          <t>Por contactar</t>
        </is>
      </c>
      <c r="K26" s="16" t="n"/>
      <c r="L26" s="16" t="n"/>
      <c r="M26" s="11" t="n"/>
      <c r="N26" s="11" t="n"/>
      <c r="O26" s="16" t="n"/>
      <c r="P26" s="11">
        <f>IF(L26="","",TODAY()-L26)</f>
        <v/>
      </c>
      <c r="Q26" s="11" t="n"/>
      <c r="R26" s="17" t="n"/>
      <c r="S26" s="11" t="n"/>
      <c r="T26" s="13" t="inlineStr">
        <is>
          <t>✉️ Abrir correo</t>
        </is>
      </c>
      <c r="U26" s="13" t="inlineStr">
        <is>
          <t>↩️ Seguimiento</t>
        </is>
      </c>
      <c r="V26" s="13">
        <f>IF(A26="","",HYPERLINK("https://calendar.google.com/calendar/render?action=TEMPLATE&amp;text="&amp;"Racksa%3A%20"&amp;SUBSTITUTE(SUBSTITUTE(SUBSTITUTE(LEFT(B26,45),"&amp;","y")," ","%20"),"#","")&amp;"%20-%20seguimiento"&amp;"&amp;dates="&amp;YEAR(IF(O26="",TODAY()+3,O26))&amp;RIGHT("0"&amp;MONTH(IF(O26="",TODAY()+3,O26)),2)&amp;RIGHT("0"&amp;DAY(IF(O26="",TODAY()+3,O26)),2)&amp;"/"&amp;YEAR(IF(O26="",TODAY()+4,O26+1))&amp;RIGHT("0"&amp;MONTH(IF(O26="",TODAY()+4,O26+1)),2)&amp;RIGHT("0"&amp;DAY(IF(O26="",TODAY()+4,O26+1)),2),"📅 Agendar"))</f>
        <v/>
      </c>
    </row>
    <row r="27">
      <c r="A27" s="11" t="inlineStr">
        <is>
          <t>P026</t>
        </is>
      </c>
      <c r="B27" s="11">
        <f>IFERROR(INDEX(Prospectos!$F:$F,MATCH(A27,Prospectos!$A:$A,0)),"")</f>
        <v/>
      </c>
      <c r="C27" s="11">
        <f>IFERROR(INDEX(Prospectos!$D:$D,MATCH(A27,Prospectos!$A:$A,0)),"")</f>
        <v/>
      </c>
      <c r="D27" s="11">
        <f>IFERROR(INDEX(Prospectos!$B:$B,MATCH(A27,Prospectos!$A:$A,0)),"")</f>
        <v/>
      </c>
      <c r="E27" s="11" t="n"/>
      <c r="F27" s="11" t="n"/>
      <c r="G27" s="11" t="n"/>
      <c r="H27" s="11" t="n"/>
      <c r="I27" s="11" t="n"/>
      <c r="J27" s="11" t="inlineStr">
        <is>
          <t>Por contactar</t>
        </is>
      </c>
      <c r="K27" s="16" t="n"/>
      <c r="L27" s="16" t="n"/>
      <c r="M27" s="11" t="n"/>
      <c r="N27" s="11" t="n"/>
      <c r="O27" s="16" t="n"/>
      <c r="P27" s="11">
        <f>IF(L27="","",TODAY()-L27)</f>
        <v/>
      </c>
      <c r="Q27" s="11" t="n"/>
      <c r="R27" s="17" t="n"/>
      <c r="S27" s="11" t="n"/>
      <c r="T27" s="13" t="inlineStr">
        <is>
          <t>✉️ Abrir correo</t>
        </is>
      </c>
      <c r="U27" s="13" t="inlineStr">
        <is>
          <t>↩️ Seguimiento</t>
        </is>
      </c>
      <c r="V27" s="13">
        <f>IF(A27="","",HYPERLINK("https://calendar.google.com/calendar/render?action=TEMPLATE&amp;text="&amp;"Racksa%3A%20"&amp;SUBSTITUTE(SUBSTITUTE(SUBSTITUTE(LEFT(B27,45),"&amp;","y")," ","%20"),"#","")&amp;"%20-%20seguimiento"&amp;"&amp;dates="&amp;YEAR(IF(O27="",TODAY()+3,O27))&amp;RIGHT("0"&amp;MONTH(IF(O27="",TODAY()+3,O27)),2)&amp;RIGHT("0"&amp;DAY(IF(O27="",TODAY()+3,O27)),2)&amp;"/"&amp;YEAR(IF(O27="",TODAY()+4,O27+1))&amp;RIGHT("0"&amp;MONTH(IF(O27="",TODAY()+4,O27+1)),2)&amp;RIGHT("0"&amp;DAY(IF(O27="",TODAY()+4,O27+1)),2),"📅 Agendar"))</f>
        <v/>
      </c>
    </row>
    <row r="28">
      <c r="A28" s="11" t="inlineStr">
        <is>
          <t>P027</t>
        </is>
      </c>
      <c r="B28" s="11">
        <f>IFERROR(INDEX(Prospectos!$F:$F,MATCH(A28,Prospectos!$A:$A,0)),"")</f>
        <v/>
      </c>
      <c r="C28" s="11">
        <f>IFERROR(INDEX(Prospectos!$D:$D,MATCH(A28,Prospectos!$A:$A,0)),"")</f>
        <v/>
      </c>
      <c r="D28" s="11">
        <f>IFERROR(INDEX(Prospectos!$B:$B,MATCH(A28,Prospectos!$A:$A,0)),"")</f>
        <v/>
      </c>
      <c r="E28" s="11" t="n"/>
      <c r="F28" s="11" t="n"/>
      <c r="G28" s="11" t="n"/>
      <c r="H28" s="11" t="inlineStr">
        <is>
          <t>comunicaciones@quifatex.com</t>
        </is>
      </c>
      <c r="I28" s="11" t="inlineStr">
        <is>
          <t>Correo</t>
        </is>
      </c>
      <c r="J28" s="11" t="inlineStr">
        <is>
          <t>Por contactar</t>
        </is>
      </c>
      <c r="K28" s="16" t="n"/>
      <c r="L28" s="16" t="n"/>
      <c r="M28" s="11" t="n"/>
      <c r="N28" s="11" t="n"/>
      <c r="O28" s="16" t="n"/>
      <c r="P28" s="11">
        <f>IF(L28="","",TODAY()-L28)</f>
        <v/>
      </c>
      <c r="Q28" s="11" t="n"/>
      <c r="R28" s="17" t="n"/>
      <c r="S28" s="11" t="n"/>
      <c r="T28" s="13" t="inlineStr">
        <is>
          <t>✉️ Abrir correo</t>
        </is>
      </c>
      <c r="U28" s="13" t="inlineStr">
        <is>
          <t>↩️ Seguimiento</t>
        </is>
      </c>
      <c r="V28" s="13">
        <f>IF(A28="","",HYPERLINK("https://calendar.google.com/calendar/render?action=TEMPLATE&amp;text="&amp;"Racksa%3A%20"&amp;SUBSTITUTE(SUBSTITUTE(SUBSTITUTE(LEFT(B28,45),"&amp;","y")," ","%20"),"#","")&amp;"%20-%20seguimiento"&amp;"&amp;dates="&amp;YEAR(IF(O28="",TODAY()+3,O28))&amp;RIGHT("0"&amp;MONTH(IF(O28="",TODAY()+3,O28)),2)&amp;RIGHT("0"&amp;DAY(IF(O28="",TODAY()+3,O28)),2)&amp;"/"&amp;YEAR(IF(O28="",TODAY()+4,O28+1))&amp;RIGHT("0"&amp;MONTH(IF(O28="",TODAY()+4,O28+1)),2)&amp;RIGHT("0"&amp;DAY(IF(O28="",TODAY()+4,O28+1)),2),"📅 Agendar"))</f>
        <v/>
      </c>
    </row>
    <row r="29">
      <c r="A29" s="11" t="inlineStr">
        <is>
          <t>P028</t>
        </is>
      </c>
      <c r="B29" s="11">
        <f>IFERROR(INDEX(Prospectos!$F:$F,MATCH(A29,Prospectos!$A:$A,0)),"")</f>
        <v/>
      </c>
      <c r="C29" s="11">
        <f>IFERROR(INDEX(Prospectos!$D:$D,MATCH(A29,Prospectos!$A:$A,0)),"")</f>
        <v/>
      </c>
      <c r="D29" s="11">
        <f>IFERROR(INDEX(Prospectos!$B:$B,MATCH(A29,Prospectos!$A:$A,0)),"")</f>
        <v/>
      </c>
      <c r="E29" s="11" t="n"/>
      <c r="F29" s="11" t="n"/>
      <c r="G29" s="11" t="n"/>
      <c r="H29" s="11" t="n"/>
      <c r="I29" s="11" t="n"/>
      <c r="J29" s="11" t="inlineStr">
        <is>
          <t>Por contactar</t>
        </is>
      </c>
      <c r="K29" s="16" t="n"/>
      <c r="L29" s="16" t="n"/>
      <c r="M29" s="11" t="n"/>
      <c r="N29" s="11" t="n"/>
      <c r="O29" s="16" t="n"/>
      <c r="P29" s="11">
        <f>IF(L29="","",TODAY()-L29)</f>
        <v/>
      </c>
      <c r="Q29" s="11" t="n"/>
      <c r="R29" s="17" t="n"/>
      <c r="S29" s="11" t="n"/>
      <c r="T29" s="13" t="inlineStr">
        <is>
          <t>✉️ Abrir correo</t>
        </is>
      </c>
      <c r="U29" s="13" t="inlineStr">
        <is>
          <t>↩️ Seguimiento</t>
        </is>
      </c>
      <c r="V29" s="13">
        <f>IF(A29="","",HYPERLINK("https://calendar.google.com/calendar/render?action=TEMPLATE&amp;text="&amp;"Racksa%3A%20"&amp;SUBSTITUTE(SUBSTITUTE(SUBSTITUTE(LEFT(B29,45),"&amp;","y")," ","%20"),"#","")&amp;"%20-%20seguimiento"&amp;"&amp;dates="&amp;YEAR(IF(O29="",TODAY()+3,O29))&amp;RIGHT("0"&amp;MONTH(IF(O29="",TODAY()+3,O29)),2)&amp;RIGHT("0"&amp;DAY(IF(O29="",TODAY()+3,O29)),2)&amp;"/"&amp;YEAR(IF(O29="",TODAY()+4,O29+1))&amp;RIGHT("0"&amp;MONTH(IF(O29="",TODAY()+4,O29+1)),2)&amp;RIGHT("0"&amp;DAY(IF(O29="",TODAY()+4,O29+1)),2),"📅 Agendar"))</f>
        <v/>
      </c>
    </row>
    <row r="30">
      <c r="A30" s="11" t="inlineStr">
        <is>
          <t>P029</t>
        </is>
      </c>
      <c r="B30" s="11">
        <f>IFERROR(INDEX(Prospectos!$F:$F,MATCH(A30,Prospectos!$A:$A,0)),"")</f>
        <v/>
      </c>
      <c r="C30" s="11">
        <f>IFERROR(INDEX(Prospectos!$D:$D,MATCH(A30,Prospectos!$A:$A,0)),"")</f>
        <v/>
      </c>
      <c r="D30" s="11">
        <f>IFERROR(INDEX(Prospectos!$B:$B,MATCH(A30,Prospectos!$A:$A,0)),"")</f>
        <v/>
      </c>
      <c r="E30" s="11" t="n"/>
      <c r="F30" s="11" t="n"/>
      <c r="G30" s="11" t="n"/>
      <c r="H30" s="11" t="inlineStr">
        <is>
          <t>info@megaprofer.com</t>
        </is>
      </c>
      <c r="I30" s="11" t="inlineStr">
        <is>
          <t>Correo</t>
        </is>
      </c>
      <c r="J30" s="11" t="inlineStr">
        <is>
          <t>Por contactar</t>
        </is>
      </c>
      <c r="K30" s="16" t="n"/>
      <c r="L30" s="16" t="n"/>
      <c r="M30" s="11" t="n"/>
      <c r="N30" s="11" t="n"/>
      <c r="O30" s="16" t="n"/>
      <c r="P30" s="11">
        <f>IF(L30="","",TODAY()-L30)</f>
        <v/>
      </c>
      <c r="Q30" s="11" t="n"/>
      <c r="R30" s="17" t="n"/>
      <c r="S30" s="11" t="n"/>
      <c r="T30" s="13" t="inlineStr">
        <is>
          <t>✉️ Abrir correo</t>
        </is>
      </c>
      <c r="U30" s="13" t="inlineStr">
        <is>
          <t>↩️ Seguimiento</t>
        </is>
      </c>
      <c r="V30" s="13">
        <f>IF(A30="","",HYPERLINK("https://calendar.google.com/calendar/render?action=TEMPLATE&amp;text="&amp;"Racksa%3A%20"&amp;SUBSTITUTE(SUBSTITUTE(SUBSTITUTE(LEFT(B30,45),"&amp;","y")," ","%20"),"#","")&amp;"%20-%20seguimiento"&amp;"&amp;dates="&amp;YEAR(IF(O30="",TODAY()+3,O30))&amp;RIGHT("0"&amp;MONTH(IF(O30="",TODAY()+3,O30)),2)&amp;RIGHT("0"&amp;DAY(IF(O30="",TODAY()+3,O30)),2)&amp;"/"&amp;YEAR(IF(O30="",TODAY()+4,O30+1))&amp;RIGHT("0"&amp;MONTH(IF(O30="",TODAY()+4,O30+1)),2)&amp;RIGHT("0"&amp;DAY(IF(O30="",TODAY()+4,O30+1)),2),"📅 Agendar"))</f>
        <v/>
      </c>
    </row>
    <row r="31">
      <c r="A31" s="11" t="inlineStr">
        <is>
          <t>P030</t>
        </is>
      </c>
      <c r="B31" s="11">
        <f>IFERROR(INDEX(Prospectos!$F:$F,MATCH(A31,Prospectos!$A:$A,0)),"")</f>
        <v/>
      </c>
      <c r="C31" s="11">
        <f>IFERROR(INDEX(Prospectos!$D:$D,MATCH(A31,Prospectos!$A:$A,0)),"")</f>
        <v/>
      </c>
      <c r="D31" s="11">
        <f>IFERROR(INDEX(Prospectos!$B:$B,MATCH(A31,Prospectos!$A:$A,0)),"")</f>
        <v/>
      </c>
      <c r="E31" s="11" t="n"/>
      <c r="F31" s="11" t="n"/>
      <c r="G31" s="11" t="n"/>
      <c r="H31" s="11" t="n"/>
      <c r="I31" s="11" t="n"/>
      <c r="J31" s="11" t="inlineStr">
        <is>
          <t>Por contactar</t>
        </is>
      </c>
      <c r="K31" s="16" t="n"/>
      <c r="L31" s="16" t="n"/>
      <c r="M31" s="11" t="n"/>
      <c r="N31" s="11" t="n"/>
      <c r="O31" s="16" t="n"/>
      <c r="P31" s="11">
        <f>IF(L31="","",TODAY()-L31)</f>
        <v/>
      </c>
      <c r="Q31" s="11" t="n"/>
      <c r="R31" s="17" t="n"/>
      <c r="S31" s="11" t="n"/>
      <c r="T31" s="13" t="inlineStr">
        <is>
          <t>✉️ Abrir correo</t>
        </is>
      </c>
      <c r="U31" s="13" t="inlineStr">
        <is>
          <t>↩️ Seguimiento</t>
        </is>
      </c>
      <c r="V31" s="13">
        <f>IF(A31="","",HYPERLINK("https://calendar.google.com/calendar/render?action=TEMPLATE&amp;text="&amp;"Racksa%3A%20"&amp;SUBSTITUTE(SUBSTITUTE(SUBSTITUTE(LEFT(B31,45),"&amp;","y")," ","%20"),"#","")&amp;"%20-%20seguimiento"&amp;"&amp;dates="&amp;YEAR(IF(O31="",TODAY()+3,O31))&amp;RIGHT("0"&amp;MONTH(IF(O31="",TODAY()+3,O31)),2)&amp;RIGHT("0"&amp;DAY(IF(O31="",TODAY()+3,O31)),2)&amp;"/"&amp;YEAR(IF(O31="",TODAY()+4,O31+1))&amp;RIGHT("0"&amp;MONTH(IF(O31="",TODAY()+4,O31+1)),2)&amp;RIGHT("0"&amp;DAY(IF(O31="",TODAY()+4,O31+1)),2),"📅 Agendar"))</f>
        <v/>
      </c>
    </row>
    <row r="32">
      <c r="A32" s="11" t="inlineStr">
        <is>
          <t>P031</t>
        </is>
      </c>
      <c r="B32" s="11">
        <f>IFERROR(INDEX(Prospectos!$F:$F,MATCH(A32,Prospectos!$A:$A,0)),"")</f>
        <v/>
      </c>
      <c r="C32" s="11">
        <f>IFERROR(INDEX(Prospectos!$D:$D,MATCH(A32,Prospectos!$A:$A,0)),"")</f>
        <v/>
      </c>
      <c r="D32" s="11">
        <f>IFERROR(INDEX(Prospectos!$B:$B,MATCH(A32,Prospectos!$A:$A,0)),"")</f>
        <v/>
      </c>
      <c r="E32" s="11" t="n"/>
      <c r="F32" s="11" t="n"/>
      <c r="G32" s="11" t="n"/>
      <c r="H32" s="11" t="n"/>
      <c r="I32" s="11" t="n"/>
      <c r="J32" s="11" t="inlineStr">
        <is>
          <t>Por contactar</t>
        </is>
      </c>
      <c r="K32" s="16" t="n"/>
      <c r="L32" s="16" t="n"/>
      <c r="M32" s="11" t="n"/>
      <c r="N32" s="11" t="n"/>
      <c r="O32" s="16" t="n"/>
      <c r="P32" s="11">
        <f>IF(L32="","",TODAY()-L32)</f>
        <v/>
      </c>
      <c r="Q32" s="11" t="n"/>
      <c r="R32" s="17" t="n"/>
      <c r="S32" s="11" t="n"/>
      <c r="T32" s="13" t="inlineStr">
        <is>
          <t>✉️ Abrir correo</t>
        </is>
      </c>
      <c r="U32" s="13" t="inlineStr">
        <is>
          <t>↩️ Seguimiento</t>
        </is>
      </c>
      <c r="V32" s="13">
        <f>IF(A32="","",HYPERLINK("https://calendar.google.com/calendar/render?action=TEMPLATE&amp;text="&amp;"Racksa%3A%20"&amp;SUBSTITUTE(SUBSTITUTE(SUBSTITUTE(LEFT(B32,45),"&amp;","y")," ","%20"),"#","")&amp;"%20-%20seguimiento"&amp;"&amp;dates="&amp;YEAR(IF(O32="",TODAY()+3,O32))&amp;RIGHT("0"&amp;MONTH(IF(O32="",TODAY()+3,O32)),2)&amp;RIGHT("0"&amp;DAY(IF(O32="",TODAY()+3,O32)),2)&amp;"/"&amp;YEAR(IF(O32="",TODAY()+4,O32+1))&amp;RIGHT("0"&amp;MONTH(IF(O32="",TODAY()+4,O32+1)),2)&amp;RIGHT("0"&amp;DAY(IF(O32="",TODAY()+4,O32+1)),2),"📅 Agendar"))</f>
        <v/>
      </c>
    </row>
    <row r="33">
      <c r="A33" s="11" t="inlineStr">
        <is>
          <t>P032</t>
        </is>
      </c>
      <c r="B33" s="11">
        <f>IFERROR(INDEX(Prospectos!$F:$F,MATCH(A33,Prospectos!$A:$A,0)),"")</f>
        <v/>
      </c>
      <c r="C33" s="11">
        <f>IFERROR(INDEX(Prospectos!$D:$D,MATCH(A33,Prospectos!$A:$A,0)),"")</f>
        <v/>
      </c>
      <c r="D33" s="11">
        <f>IFERROR(INDEX(Prospectos!$B:$B,MATCH(A33,Prospectos!$A:$A,0)),"")</f>
        <v/>
      </c>
      <c r="E33" s="11" t="n"/>
      <c r="F33" s="11" t="n"/>
      <c r="G33" s="11" t="n"/>
      <c r="H33" s="11" t="n"/>
      <c r="I33" s="11" t="n"/>
      <c r="J33" s="11" t="inlineStr">
        <is>
          <t>Por contactar</t>
        </is>
      </c>
      <c r="K33" s="16" t="n"/>
      <c r="L33" s="16" t="n"/>
      <c r="M33" s="11" t="n"/>
      <c r="N33" s="11" t="n"/>
      <c r="O33" s="16" t="n"/>
      <c r="P33" s="11">
        <f>IF(L33="","",TODAY()-L33)</f>
        <v/>
      </c>
      <c r="Q33" s="11" t="n"/>
      <c r="R33" s="17" t="n"/>
      <c r="S33" s="11" t="n"/>
      <c r="T33" s="13" t="inlineStr">
        <is>
          <t>✉️ Abrir correo</t>
        </is>
      </c>
      <c r="U33" s="13" t="inlineStr">
        <is>
          <t>↩️ Seguimiento</t>
        </is>
      </c>
      <c r="V33" s="13">
        <f>IF(A33="","",HYPERLINK("https://calendar.google.com/calendar/render?action=TEMPLATE&amp;text="&amp;"Racksa%3A%20"&amp;SUBSTITUTE(SUBSTITUTE(SUBSTITUTE(LEFT(B33,45),"&amp;","y")," ","%20"),"#","")&amp;"%20-%20seguimiento"&amp;"&amp;dates="&amp;YEAR(IF(O33="",TODAY()+3,O33))&amp;RIGHT("0"&amp;MONTH(IF(O33="",TODAY()+3,O33)),2)&amp;RIGHT("0"&amp;DAY(IF(O33="",TODAY()+3,O33)),2)&amp;"/"&amp;YEAR(IF(O33="",TODAY()+4,O33+1))&amp;RIGHT("0"&amp;MONTH(IF(O33="",TODAY()+4,O33+1)),2)&amp;RIGHT("0"&amp;DAY(IF(O33="",TODAY()+4,O33+1)),2),"📅 Agendar"))</f>
        <v/>
      </c>
    </row>
    <row r="34">
      <c r="A34" s="11" t="inlineStr">
        <is>
          <t>P033</t>
        </is>
      </c>
      <c r="B34" s="11">
        <f>IFERROR(INDEX(Prospectos!$F:$F,MATCH(A34,Prospectos!$A:$A,0)),"")</f>
        <v/>
      </c>
      <c r="C34" s="11">
        <f>IFERROR(INDEX(Prospectos!$D:$D,MATCH(A34,Prospectos!$A:$A,0)),"")</f>
        <v/>
      </c>
      <c r="D34" s="11">
        <f>IFERROR(INDEX(Prospectos!$B:$B,MATCH(A34,Prospectos!$A:$A,0)),"")</f>
        <v/>
      </c>
      <c r="E34" s="11" t="n"/>
      <c r="F34" s="11" t="n"/>
      <c r="G34" s="11" t="n"/>
      <c r="H34" s="11" t="n"/>
      <c r="I34" s="11" t="n"/>
      <c r="J34" s="11" t="inlineStr">
        <is>
          <t>Por contactar</t>
        </is>
      </c>
      <c r="K34" s="16" t="n"/>
      <c r="L34" s="16" t="n"/>
      <c r="M34" s="11" t="n"/>
      <c r="N34" s="11" t="n"/>
      <c r="O34" s="16" t="n"/>
      <c r="P34" s="11">
        <f>IF(L34="","",TODAY()-L34)</f>
        <v/>
      </c>
      <c r="Q34" s="11" t="n"/>
      <c r="R34" s="17" t="n"/>
      <c r="S34" s="11" t="n"/>
      <c r="T34" s="13" t="inlineStr">
        <is>
          <t>✉️ Abrir correo</t>
        </is>
      </c>
      <c r="U34" s="13" t="inlineStr">
        <is>
          <t>↩️ Seguimiento</t>
        </is>
      </c>
      <c r="V34" s="13">
        <f>IF(A34="","",HYPERLINK("https://calendar.google.com/calendar/render?action=TEMPLATE&amp;text="&amp;"Racksa%3A%20"&amp;SUBSTITUTE(SUBSTITUTE(SUBSTITUTE(LEFT(B34,45),"&amp;","y")," ","%20"),"#","")&amp;"%20-%20seguimiento"&amp;"&amp;dates="&amp;YEAR(IF(O34="",TODAY()+3,O34))&amp;RIGHT("0"&amp;MONTH(IF(O34="",TODAY()+3,O34)),2)&amp;RIGHT("0"&amp;DAY(IF(O34="",TODAY()+3,O34)),2)&amp;"/"&amp;YEAR(IF(O34="",TODAY()+4,O34+1))&amp;RIGHT("0"&amp;MONTH(IF(O34="",TODAY()+4,O34+1)),2)&amp;RIGHT("0"&amp;DAY(IF(O34="",TODAY()+4,O34+1)),2),"📅 Agendar"))</f>
        <v/>
      </c>
    </row>
    <row r="35">
      <c r="A35" s="11" t="inlineStr">
        <is>
          <t>P034</t>
        </is>
      </c>
      <c r="B35" s="11">
        <f>IFERROR(INDEX(Prospectos!$F:$F,MATCH(A35,Prospectos!$A:$A,0)),"")</f>
        <v/>
      </c>
      <c r="C35" s="11">
        <f>IFERROR(INDEX(Prospectos!$D:$D,MATCH(A35,Prospectos!$A:$A,0)),"")</f>
        <v/>
      </c>
      <c r="D35" s="11">
        <f>IFERROR(INDEX(Prospectos!$B:$B,MATCH(A35,Prospectos!$A:$A,0)),"")</f>
        <v/>
      </c>
      <c r="E35" s="11" t="n"/>
      <c r="F35" s="11" t="n"/>
      <c r="G35" s="11" t="n"/>
      <c r="H35" s="11" t="n"/>
      <c r="I35" s="11" t="n"/>
      <c r="J35" s="11" t="inlineStr">
        <is>
          <t>Por contactar</t>
        </is>
      </c>
      <c r="K35" s="16" t="n"/>
      <c r="L35" s="16" t="n"/>
      <c r="M35" s="11" t="n"/>
      <c r="N35" s="11" t="n"/>
      <c r="O35" s="16" t="n"/>
      <c r="P35" s="11">
        <f>IF(L35="","",TODAY()-L35)</f>
        <v/>
      </c>
      <c r="Q35" s="11" t="n"/>
      <c r="R35" s="17" t="n"/>
      <c r="S35" s="11" t="n"/>
      <c r="T35" s="13" t="inlineStr">
        <is>
          <t>✉️ Abrir correo</t>
        </is>
      </c>
      <c r="U35" s="13" t="inlineStr">
        <is>
          <t>↩️ Seguimiento</t>
        </is>
      </c>
      <c r="V35" s="13">
        <f>IF(A35="","",HYPERLINK("https://calendar.google.com/calendar/render?action=TEMPLATE&amp;text="&amp;"Racksa%3A%20"&amp;SUBSTITUTE(SUBSTITUTE(SUBSTITUTE(LEFT(B35,45),"&amp;","y")," ","%20"),"#","")&amp;"%20-%20seguimiento"&amp;"&amp;dates="&amp;YEAR(IF(O35="",TODAY()+3,O35))&amp;RIGHT("0"&amp;MONTH(IF(O35="",TODAY()+3,O35)),2)&amp;RIGHT("0"&amp;DAY(IF(O35="",TODAY()+3,O35)),2)&amp;"/"&amp;YEAR(IF(O35="",TODAY()+4,O35+1))&amp;RIGHT("0"&amp;MONTH(IF(O35="",TODAY()+4,O35+1)),2)&amp;RIGHT("0"&amp;DAY(IF(O35="",TODAY()+4,O35+1)),2),"📅 Agendar"))</f>
        <v/>
      </c>
    </row>
    <row r="36">
      <c r="A36" s="11" t="inlineStr">
        <is>
          <t>P035</t>
        </is>
      </c>
      <c r="B36" s="11">
        <f>IFERROR(INDEX(Prospectos!$F:$F,MATCH(A36,Prospectos!$A:$A,0)),"")</f>
        <v/>
      </c>
      <c r="C36" s="11">
        <f>IFERROR(INDEX(Prospectos!$D:$D,MATCH(A36,Prospectos!$A:$A,0)),"")</f>
        <v/>
      </c>
      <c r="D36" s="11">
        <f>IFERROR(INDEX(Prospectos!$B:$B,MATCH(A36,Prospectos!$A:$A,0)),"")</f>
        <v/>
      </c>
      <c r="E36" s="11" t="n"/>
      <c r="F36" s="11" t="n"/>
      <c r="G36" s="11" t="n"/>
      <c r="H36" s="11" t="n"/>
      <c r="I36" s="11" t="n"/>
      <c r="J36" s="11" t="inlineStr">
        <is>
          <t>Por contactar</t>
        </is>
      </c>
      <c r="K36" s="16" t="n"/>
      <c r="L36" s="16" t="n"/>
      <c r="M36" s="11" t="n"/>
      <c r="N36" s="11" t="n"/>
      <c r="O36" s="16" t="n"/>
      <c r="P36" s="11">
        <f>IF(L36="","",TODAY()-L36)</f>
        <v/>
      </c>
      <c r="Q36" s="11" t="n"/>
      <c r="R36" s="17" t="n"/>
      <c r="S36" s="11" t="n"/>
      <c r="T36" s="13" t="inlineStr">
        <is>
          <t>✉️ Abrir correo</t>
        </is>
      </c>
      <c r="U36" s="13" t="inlineStr">
        <is>
          <t>↩️ Seguimiento</t>
        </is>
      </c>
      <c r="V36" s="13">
        <f>IF(A36="","",HYPERLINK("https://calendar.google.com/calendar/render?action=TEMPLATE&amp;text="&amp;"Racksa%3A%20"&amp;SUBSTITUTE(SUBSTITUTE(SUBSTITUTE(LEFT(B36,45),"&amp;","y")," ","%20"),"#","")&amp;"%20-%20seguimiento"&amp;"&amp;dates="&amp;YEAR(IF(O36="",TODAY()+3,O36))&amp;RIGHT("0"&amp;MONTH(IF(O36="",TODAY()+3,O36)),2)&amp;RIGHT("0"&amp;DAY(IF(O36="",TODAY()+3,O36)),2)&amp;"/"&amp;YEAR(IF(O36="",TODAY()+4,O36+1))&amp;RIGHT("0"&amp;MONTH(IF(O36="",TODAY()+4,O36+1)),2)&amp;RIGHT("0"&amp;DAY(IF(O36="",TODAY()+4,O36+1)),2),"📅 Agendar"))</f>
        <v/>
      </c>
    </row>
    <row r="37">
      <c r="A37" s="11" t="inlineStr">
        <is>
          <t>P036</t>
        </is>
      </c>
      <c r="B37" s="11">
        <f>IFERROR(INDEX(Prospectos!$F:$F,MATCH(A37,Prospectos!$A:$A,0)),"")</f>
        <v/>
      </c>
      <c r="C37" s="11">
        <f>IFERROR(INDEX(Prospectos!$D:$D,MATCH(A37,Prospectos!$A:$A,0)),"")</f>
        <v/>
      </c>
      <c r="D37" s="11">
        <f>IFERROR(INDEX(Prospectos!$B:$B,MATCH(A37,Prospectos!$A:$A,0)),"")</f>
        <v/>
      </c>
      <c r="E37" s="11" t="n"/>
      <c r="F37" s="11" t="n"/>
      <c r="G37" s="11" t="n"/>
      <c r="H37" s="11" t="n"/>
      <c r="I37" s="11" t="n"/>
      <c r="J37" s="11" t="inlineStr">
        <is>
          <t>Por contactar</t>
        </is>
      </c>
      <c r="K37" s="16" t="n"/>
      <c r="L37" s="16" t="n"/>
      <c r="M37" s="11" t="n"/>
      <c r="N37" s="11" t="n"/>
      <c r="O37" s="16" t="n"/>
      <c r="P37" s="11">
        <f>IF(L37="","",TODAY()-L37)</f>
        <v/>
      </c>
      <c r="Q37" s="11" t="n"/>
      <c r="R37" s="17" t="n"/>
      <c r="S37" s="11" t="n"/>
      <c r="T37" s="13" t="inlineStr">
        <is>
          <t>✉️ Abrir correo</t>
        </is>
      </c>
      <c r="U37" s="13" t="inlineStr">
        <is>
          <t>↩️ Seguimiento</t>
        </is>
      </c>
      <c r="V37" s="13">
        <f>IF(A37="","",HYPERLINK("https://calendar.google.com/calendar/render?action=TEMPLATE&amp;text="&amp;"Racksa%3A%20"&amp;SUBSTITUTE(SUBSTITUTE(SUBSTITUTE(LEFT(B37,45),"&amp;","y")," ","%20"),"#","")&amp;"%20-%20seguimiento"&amp;"&amp;dates="&amp;YEAR(IF(O37="",TODAY()+3,O37))&amp;RIGHT("0"&amp;MONTH(IF(O37="",TODAY()+3,O37)),2)&amp;RIGHT("0"&amp;DAY(IF(O37="",TODAY()+3,O37)),2)&amp;"/"&amp;YEAR(IF(O37="",TODAY()+4,O37+1))&amp;RIGHT("0"&amp;MONTH(IF(O37="",TODAY()+4,O37+1)),2)&amp;RIGHT("0"&amp;DAY(IF(O37="",TODAY()+4,O37+1)),2),"📅 Agendar"))</f>
        <v/>
      </c>
    </row>
    <row r="38">
      <c r="A38" s="11" t="inlineStr">
        <is>
          <t>P037</t>
        </is>
      </c>
      <c r="B38" s="11">
        <f>IFERROR(INDEX(Prospectos!$F:$F,MATCH(A38,Prospectos!$A:$A,0)),"")</f>
        <v/>
      </c>
      <c r="C38" s="11">
        <f>IFERROR(INDEX(Prospectos!$D:$D,MATCH(A38,Prospectos!$A:$A,0)),"")</f>
        <v/>
      </c>
      <c r="D38" s="11">
        <f>IFERROR(INDEX(Prospectos!$B:$B,MATCH(A38,Prospectos!$A:$A,0)),"")</f>
        <v/>
      </c>
      <c r="E38" s="11" t="n"/>
      <c r="F38" s="11" t="n"/>
      <c r="G38" s="11" t="n"/>
      <c r="H38" s="11" t="n"/>
      <c r="I38" s="11" t="n"/>
      <c r="J38" s="11" t="inlineStr">
        <is>
          <t>Por contactar</t>
        </is>
      </c>
      <c r="K38" s="16" t="n"/>
      <c r="L38" s="16" t="n"/>
      <c r="M38" s="11" t="n"/>
      <c r="N38" s="11" t="n"/>
      <c r="O38" s="16" t="n"/>
      <c r="P38" s="11">
        <f>IF(L38="","",TODAY()-L38)</f>
        <v/>
      </c>
      <c r="Q38" s="11" t="n"/>
      <c r="R38" s="17" t="n"/>
      <c r="S38" s="11" t="n"/>
      <c r="T38" s="13" t="inlineStr">
        <is>
          <t>✉️ Abrir correo</t>
        </is>
      </c>
      <c r="U38" s="13" t="inlineStr">
        <is>
          <t>↩️ Seguimiento</t>
        </is>
      </c>
      <c r="V38" s="13">
        <f>IF(A38="","",HYPERLINK("https://calendar.google.com/calendar/render?action=TEMPLATE&amp;text="&amp;"Racksa%3A%20"&amp;SUBSTITUTE(SUBSTITUTE(SUBSTITUTE(LEFT(B38,45),"&amp;","y")," ","%20"),"#","")&amp;"%20-%20seguimiento"&amp;"&amp;dates="&amp;YEAR(IF(O38="",TODAY()+3,O38))&amp;RIGHT("0"&amp;MONTH(IF(O38="",TODAY()+3,O38)),2)&amp;RIGHT("0"&amp;DAY(IF(O38="",TODAY()+3,O38)),2)&amp;"/"&amp;YEAR(IF(O38="",TODAY()+4,O38+1))&amp;RIGHT("0"&amp;MONTH(IF(O38="",TODAY()+4,O38+1)),2)&amp;RIGHT("0"&amp;DAY(IF(O38="",TODAY()+4,O38+1)),2),"📅 Agendar"))</f>
        <v/>
      </c>
    </row>
    <row r="39">
      <c r="A39" s="11" t="inlineStr">
        <is>
          <t>P038</t>
        </is>
      </c>
      <c r="B39" s="11">
        <f>IFERROR(INDEX(Prospectos!$F:$F,MATCH(A39,Prospectos!$A:$A,0)),"")</f>
        <v/>
      </c>
      <c r="C39" s="11">
        <f>IFERROR(INDEX(Prospectos!$D:$D,MATCH(A39,Prospectos!$A:$A,0)),"")</f>
        <v/>
      </c>
      <c r="D39" s="11">
        <f>IFERROR(INDEX(Prospectos!$B:$B,MATCH(A39,Prospectos!$A:$A,0)),"")</f>
        <v/>
      </c>
      <c r="E39" s="11" t="n"/>
      <c r="F39" s="11" t="n"/>
      <c r="G39" s="11" t="n"/>
      <c r="H39" s="11" t="n"/>
      <c r="I39" s="11" t="n"/>
      <c r="J39" s="11" t="inlineStr">
        <is>
          <t>Por contactar</t>
        </is>
      </c>
      <c r="K39" s="16" t="n"/>
      <c r="L39" s="16" t="n"/>
      <c r="M39" s="11" t="n"/>
      <c r="N39" s="11" t="n"/>
      <c r="O39" s="16" t="n"/>
      <c r="P39" s="11">
        <f>IF(L39="","",TODAY()-L39)</f>
        <v/>
      </c>
      <c r="Q39" s="11" t="n"/>
      <c r="R39" s="17" t="n"/>
      <c r="S39" s="11" t="n"/>
      <c r="T39" s="13" t="inlineStr">
        <is>
          <t>✉️ Abrir correo</t>
        </is>
      </c>
      <c r="U39" s="13" t="inlineStr">
        <is>
          <t>↩️ Seguimiento</t>
        </is>
      </c>
      <c r="V39" s="13">
        <f>IF(A39="","",HYPERLINK("https://calendar.google.com/calendar/render?action=TEMPLATE&amp;text="&amp;"Racksa%3A%20"&amp;SUBSTITUTE(SUBSTITUTE(SUBSTITUTE(LEFT(B39,45),"&amp;","y")," ","%20"),"#","")&amp;"%20-%20seguimiento"&amp;"&amp;dates="&amp;YEAR(IF(O39="",TODAY()+3,O39))&amp;RIGHT("0"&amp;MONTH(IF(O39="",TODAY()+3,O39)),2)&amp;RIGHT("0"&amp;DAY(IF(O39="",TODAY()+3,O39)),2)&amp;"/"&amp;YEAR(IF(O39="",TODAY()+4,O39+1))&amp;RIGHT("0"&amp;MONTH(IF(O39="",TODAY()+4,O39+1)),2)&amp;RIGHT("0"&amp;DAY(IF(O39="",TODAY()+4,O39+1)),2),"📅 Agendar"))</f>
        <v/>
      </c>
    </row>
    <row r="40">
      <c r="A40" s="11" t="inlineStr">
        <is>
          <t>P039</t>
        </is>
      </c>
      <c r="B40" s="11">
        <f>IFERROR(INDEX(Prospectos!$F:$F,MATCH(A40,Prospectos!$A:$A,0)),"")</f>
        <v/>
      </c>
      <c r="C40" s="11">
        <f>IFERROR(INDEX(Prospectos!$D:$D,MATCH(A40,Prospectos!$A:$A,0)),"")</f>
        <v/>
      </c>
      <c r="D40" s="11">
        <f>IFERROR(INDEX(Prospectos!$B:$B,MATCH(A40,Prospectos!$A:$A,0)),"")</f>
        <v/>
      </c>
      <c r="E40" s="11" t="n"/>
      <c r="F40" s="11" t="n"/>
      <c r="G40" s="11" t="n"/>
      <c r="H40" s="11" t="n"/>
      <c r="I40" s="11" t="n"/>
      <c r="J40" s="11" t="inlineStr">
        <is>
          <t>Por contactar</t>
        </is>
      </c>
      <c r="K40" s="16" t="n"/>
      <c r="L40" s="16" t="n"/>
      <c r="M40" s="11" t="n"/>
      <c r="N40" s="11" t="n"/>
      <c r="O40" s="16" t="n"/>
      <c r="P40" s="11">
        <f>IF(L40="","",TODAY()-L40)</f>
        <v/>
      </c>
      <c r="Q40" s="11" t="n"/>
      <c r="R40" s="17" t="n"/>
      <c r="S40" s="11" t="n"/>
      <c r="T40" s="13" t="inlineStr">
        <is>
          <t>✉️ Abrir correo</t>
        </is>
      </c>
      <c r="U40" s="13" t="inlineStr">
        <is>
          <t>↩️ Seguimiento</t>
        </is>
      </c>
      <c r="V40" s="13">
        <f>IF(A40="","",HYPERLINK("https://calendar.google.com/calendar/render?action=TEMPLATE&amp;text="&amp;"Racksa%3A%20"&amp;SUBSTITUTE(SUBSTITUTE(SUBSTITUTE(LEFT(B40,45),"&amp;","y")," ","%20"),"#","")&amp;"%20-%20seguimiento"&amp;"&amp;dates="&amp;YEAR(IF(O40="",TODAY()+3,O40))&amp;RIGHT("0"&amp;MONTH(IF(O40="",TODAY()+3,O40)),2)&amp;RIGHT("0"&amp;DAY(IF(O40="",TODAY()+3,O40)),2)&amp;"/"&amp;YEAR(IF(O40="",TODAY()+4,O40+1))&amp;RIGHT("0"&amp;MONTH(IF(O40="",TODAY()+4,O40+1)),2)&amp;RIGHT("0"&amp;DAY(IF(O40="",TODAY()+4,O40+1)),2),"📅 Agendar"))</f>
        <v/>
      </c>
    </row>
    <row r="41">
      <c r="A41" s="11" t="inlineStr">
        <is>
          <t>P040</t>
        </is>
      </c>
      <c r="B41" s="11">
        <f>IFERROR(INDEX(Prospectos!$F:$F,MATCH(A41,Prospectos!$A:$A,0)),"")</f>
        <v/>
      </c>
      <c r="C41" s="11">
        <f>IFERROR(INDEX(Prospectos!$D:$D,MATCH(A41,Prospectos!$A:$A,0)),"")</f>
        <v/>
      </c>
      <c r="D41" s="11">
        <f>IFERROR(INDEX(Prospectos!$B:$B,MATCH(A41,Prospectos!$A:$A,0)),"")</f>
        <v/>
      </c>
      <c r="E41" s="11" t="n"/>
      <c r="F41" s="11" t="n"/>
      <c r="G41" s="11" t="n"/>
      <c r="H41" s="11" t="n"/>
      <c r="I41" s="11" t="n"/>
      <c r="J41" s="11" t="inlineStr">
        <is>
          <t>Por contactar</t>
        </is>
      </c>
      <c r="K41" s="16" t="n"/>
      <c r="L41" s="16" t="n"/>
      <c r="M41" s="11" t="n"/>
      <c r="N41" s="11" t="n"/>
      <c r="O41" s="16" t="n"/>
      <c r="P41" s="11">
        <f>IF(L41="","",TODAY()-L41)</f>
        <v/>
      </c>
      <c r="Q41" s="11" t="n"/>
      <c r="R41" s="17" t="n"/>
      <c r="S41" s="11" t="n"/>
      <c r="T41" s="13" t="inlineStr">
        <is>
          <t>✉️ Abrir correo</t>
        </is>
      </c>
      <c r="U41" s="13" t="inlineStr">
        <is>
          <t>↩️ Seguimiento</t>
        </is>
      </c>
      <c r="V41" s="13">
        <f>IF(A41="","",HYPERLINK("https://calendar.google.com/calendar/render?action=TEMPLATE&amp;text="&amp;"Racksa%3A%20"&amp;SUBSTITUTE(SUBSTITUTE(SUBSTITUTE(LEFT(B41,45),"&amp;","y")," ","%20"),"#","")&amp;"%20-%20seguimiento"&amp;"&amp;dates="&amp;YEAR(IF(O41="",TODAY()+3,O41))&amp;RIGHT("0"&amp;MONTH(IF(O41="",TODAY()+3,O41)),2)&amp;RIGHT("0"&amp;DAY(IF(O41="",TODAY()+3,O41)),2)&amp;"/"&amp;YEAR(IF(O41="",TODAY()+4,O41+1))&amp;RIGHT("0"&amp;MONTH(IF(O41="",TODAY()+4,O41+1)),2)&amp;RIGHT("0"&amp;DAY(IF(O41="",TODAY()+4,O41+1)),2),"📅 Agendar"))</f>
        <v/>
      </c>
    </row>
    <row r="42">
      <c r="A42" s="11" t="inlineStr">
        <is>
          <t>P041</t>
        </is>
      </c>
      <c r="B42" s="11">
        <f>IFERROR(INDEX(Prospectos!$F:$F,MATCH(A42,Prospectos!$A:$A,0)),"")</f>
        <v/>
      </c>
      <c r="C42" s="11">
        <f>IFERROR(INDEX(Prospectos!$D:$D,MATCH(A42,Prospectos!$A:$A,0)),"")</f>
        <v/>
      </c>
      <c r="D42" s="11">
        <f>IFERROR(INDEX(Prospectos!$B:$B,MATCH(A42,Prospectos!$A:$A,0)),"")</f>
        <v/>
      </c>
      <c r="E42" s="11" t="n"/>
      <c r="F42" s="11" t="n"/>
      <c r="G42" s="11" t="n"/>
      <c r="H42" s="11" t="n"/>
      <c r="I42" s="11" t="n"/>
      <c r="J42" s="11" t="inlineStr">
        <is>
          <t>Por contactar</t>
        </is>
      </c>
      <c r="K42" s="16" t="n"/>
      <c r="L42" s="16" t="n"/>
      <c r="M42" s="11" t="n"/>
      <c r="N42" s="11" t="n"/>
      <c r="O42" s="16" t="n"/>
      <c r="P42" s="11">
        <f>IF(L42="","",TODAY()-L42)</f>
        <v/>
      </c>
      <c r="Q42" s="11" t="n"/>
      <c r="R42" s="17" t="n"/>
      <c r="S42" s="11" t="n"/>
      <c r="T42" s="13" t="inlineStr">
        <is>
          <t>✉️ Abrir correo</t>
        </is>
      </c>
      <c r="U42" s="13" t="inlineStr">
        <is>
          <t>↩️ Seguimiento</t>
        </is>
      </c>
      <c r="V42" s="13">
        <f>IF(A42="","",HYPERLINK("https://calendar.google.com/calendar/render?action=TEMPLATE&amp;text="&amp;"Racksa%3A%20"&amp;SUBSTITUTE(SUBSTITUTE(SUBSTITUTE(LEFT(B42,45),"&amp;","y")," ","%20"),"#","")&amp;"%20-%20seguimiento"&amp;"&amp;dates="&amp;YEAR(IF(O42="",TODAY()+3,O42))&amp;RIGHT("0"&amp;MONTH(IF(O42="",TODAY()+3,O42)),2)&amp;RIGHT("0"&amp;DAY(IF(O42="",TODAY()+3,O42)),2)&amp;"/"&amp;YEAR(IF(O42="",TODAY()+4,O42+1))&amp;RIGHT("0"&amp;MONTH(IF(O42="",TODAY()+4,O42+1)),2)&amp;RIGHT("0"&amp;DAY(IF(O42="",TODAY()+4,O42+1)),2),"📅 Agendar"))</f>
        <v/>
      </c>
    </row>
    <row r="43">
      <c r="A43" s="11" t="inlineStr">
        <is>
          <t>P042</t>
        </is>
      </c>
      <c r="B43" s="11">
        <f>IFERROR(INDEX(Prospectos!$F:$F,MATCH(A43,Prospectos!$A:$A,0)),"")</f>
        <v/>
      </c>
      <c r="C43" s="11">
        <f>IFERROR(INDEX(Prospectos!$D:$D,MATCH(A43,Prospectos!$A:$A,0)),"")</f>
        <v/>
      </c>
      <c r="D43" s="11">
        <f>IFERROR(INDEX(Prospectos!$B:$B,MATCH(A43,Prospectos!$A:$A,0)),"")</f>
        <v/>
      </c>
      <c r="E43" s="11" t="n"/>
      <c r="F43" s="11" t="n"/>
      <c r="G43" s="11" t="n"/>
      <c r="H43" s="11" t="n"/>
      <c r="I43" s="11" t="n"/>
      <c r="J43" s="11" t="inlineStr">
        <is>
          <t>Por contactar</t>
        </is>
      </c>
      <c r="K43" s="16" t="n"/>
      <c r="L43" s="16" t="n"/>
      <c r="M43" s="11" t="n"/>
      <c r="N43" s="11" t="n"/>
      <c r="O43" s="16" t="n"/>
      <c r="P43" s="11">
        <f>IF(L43="","",TODAY()-L43)</f>
        <v/>
      </c>
      <c r="Q43" s="11" t="n"/>
      <c r="R43" s="17" t="n"/>
      <c r="S43" s="11" t="n"/>
      <c r="T43" s="13" t="inlineStr">
        <is>
          <t>✉️ Abrir correo</t>
        </is>
      </c>
      <c r="U43" s="13" t="inlineStr">
        <is>
          <t>↩️ Seguimiento</t>
        </is>
      </c>
      <c r="V43" s="13">
        <f>IF(A43="","",HYPERLINK("https://calendar.google.com/calendar/render?action=TEMPLATE&amp;text="&amp;"Racksa%3A%20"&amp;SUBSTITUTE(SUBSTITUTE(SUBSTITUTE(LEFT(B43,45),"&amp;","y")," ","%20"),"#","")&amp;"%20-%20seguimiento"&amp;"&amp;dates="&amp;YEAR(IF(O43="",TODAY()+3,O43))&amp;RIGHT("0"&amp;MONTH(IF(O43="",TODAY()+3,O43)),2)&amp;RIGHT("0"&amp;DAY(IF(O43="",TODAY()+3,O43)),2)&amp;"/"&amp;YEAR(IF(O43="",TODAY()+4,O43+1))&amp;RIGHT("0"&amp;MONTH(IF(O43="",TODAY()+4,O43+1)),2)&amp;RIGHT("0"&amp;DAY(IF(O43="",TODAY()+4,O43+1)),2),"📅 Agendar"))</f>
        <v/>
      </c>
    </row>
    <row r="44">
      <c r="A44" s="11" t="inlineStr">
        <is>
          <t>P043</t>
        </is>
      </c>
      <c r="B44" s="11">
        <f>IFERROR(INDEX(Prospectos!$F:$F,MATCH(A44,Prospectos!$A:$A,0)),"")</f>
        <v/>
      </c>
      <c r="C44" s="11">
        <f>IFERROR(INDEX(Prospectos!$D:$D,MATCH(A44,Prospectos!$A:$A,0)),"")</f>
        <v/>
      </c>
      <c r="D44" s="11">
        <f>IFERROR(INDEX(Prospectos!$B:$B,MATCH(A44,Prospectos!$A:$A,0)),"")</f>
        <v/>
      </c>
      <c r="E44" s="11" t="n"/>
      <c r="F44" s="11" t="n"/>
      <c r="G44" s="11" t="n"/>
      <c r="H44" s="11" t="n"/>
      <c r="I44" s="11" t="n"/>
      <c r="J44" s="11" t="inlineStr">
        <is>
          <t>Por contactar</t>
        </is>
      </c>
      <c r="K44" s="16" t="n"/>
      <c r="L44" s="16" t="n"/>
      <c r="M44" s="11" t="n"/>
      <c r="N44" s="11" t="n"/>
      <c r="O44" s="16" t="n"/>
      <c r="P44" s="11">
        <f>IF(L44="","",TODAY()-L44)</f>
        <v/>
      </c>
      <c r="Q44" s="11" t="n"/>
      <c r="R44" s="17" t="n"/>
      <c r="S44" s="11" t="n"/>
      <c r="T44" s="13" t="inlineStr">
        <is>
          <t>✉️ Abrir correo</t>
        </is>
      </c>
      <c r="U44" s="13" t="inlineStr">
        <is>
          <t>↩️ Seguimiento</t>
        </is>
      </c>
      <c r="V44" s="13">
        <f>IF(A44="","",HYPERLINK("https://calendar.google.com/calendar/render?action=TEMPLATE&amp;text="&amp;"Racksa%3A%20"&amp;SUBSTITUTE(SUBSTITUTE(SUBSTITUTE(LEFT(B44,45),"&amp;","y")," ","%20"),"#","")&amp;"%20-%20seguimiento"&amp;"&amp;dates="&amp;YEAR(IF(O44="",TODAY()+3,O44))&amp;RIGHT("0"&amp;MONTH(IF(O44="",TODAY()+3,O44)),2)&amp;RIGHT("0"&amp;DAY(IF(O44="",TODAY()+3,O44)),2)&amp;"/"&amp;YEAR(IF(O44="",TODAY()+4,O44+1))&amp;RIGHT("0"&amp;MONTH(IF(O44="",TODAY()+4,O44+1)),2)&amp;RIGHT("0"&amp;DAY(IF(O44="",TODAY()+4,O44+1)),2),"📅 Agendar"))</f>
        <v/>
      </c>
    </row>
    <row r="45">
      <c r="A45" s="11" t="inlineStr">
        <is>
          <t>P044</t>
        </is>
      </c>
      <c r="B45" s="11">
        <f>IFERROR(INDEX(Prospectos!$F:$F,MATCH(A45,Prospectos!$A:$A,0)),"")</f>
        <v/>
      </c>
      <c r="C45" s="11">
        <f>IFERROR(INDEX(Prospectos!$D:$D,MATCH(A45,Prospectos!$A:$A,0)),"")</f>
        <v/>
      </c>
      <c r="D45" s="11">
        <f>IFERROR(INDEX(Prospectos!$B:$B,MATCH(A45,Prospectos!$A:$A,0)),"")</f>
        <v/>
      </c>
      <c r="E45" s="11" t="n"/>
      <c r="F45" s="11" t="n"/>
      <c r="G45" s="11" t="n"/>
      <c r="H45" s="11" t="n"/>
      <c r="I45" s="11" t="n"/>
      <c r="J45" s="11" t="inlineStr">
        <is>
          <t>Por contactar</t>
        </is>
      </c>
      <c r="K45" s="16" t="n"/>
      <c r="L45" s="16" t="n"/>
      <c r="M45" s="11" t="n"/>
      <c r="N45" s="11" t="n"/>
      <c r="O45" s="16" t="n"/>
      <c r="P45" s="11">
        <f>IF(L45="","",TODAY()-L45)</f>
        <v/>
      </c>
      <c r="Q45" s="11" t="n"/>
      <c r="R45" s="17" t="n"/>
      <c r="S45" s="11" t="n"/>
      <c r="T45" s="13" t="inlineStr">
        <is>
          <t>✉️ Abrir correo</t>
        </is>
      </c>
      <c r="U45" s="13" t="inlineStr">
        <is>
          <t>↩️ Seguimiento</t>
        </is>
      </c>
      <c r="V45" s="13">
        <f>IF(A45="","",HYPERLINK("https://calendar.google.com/calendar/render?action=TEMPLATE&amp;text="&amp;"Racksa%3A%20"&amp;SUBSTITUTE(SUBSTITUTE(SUBSTITUTE(LEFT(B45,45),"&amp;","y")," ","%20"),"#","")&amp;"%20-%20seguimiento"&amp;"&amp;dates="&amp;YEAR(IF(O45="",TODAY()+3,O45))&amp;RIGHT("0"&amp;MONTH(IF(O45="",TODAY()+3,O45)),2)&amp;RIGHT("0"&amp;DAY(IF(O45="",TODAY()+3,O45)),2)&amp;"/"&amp;YEAR(IF(O45="",TODAY()+4,O45+1))&amp;RIGHT("0"&amp;MONTH(IF(O45="",TODAY()+4,O45+1)),2)&amp;RIGHT("0"&amp;DAY(IF(O45="",TODAY()+4,O45+1)),2),"📅 Agendar"))</f>
        <v/>
      </c>
    </row>
    <row r="46">
      <c r="A46" s="11" t="inlineStr">
        <is>
          <t>P045</t>
        </is>
      </c>
      <c r="B46" s="11">
        <f>IFERROR(INDEX(Prospectos!$F:$F,MATCH(A46,Prospectos!$A:$A,0)),"")</f>
        <v/>
      </c>
      <c r="C46" s="11">
        <f>IFERROR(INDEX(Prospectos!$D:$D,MATCH(A46,Prospectos!$A:$A,0)),"")</f>
        <v/>
      </c>
      <c r="D46" s="11">
        <f>IFERROR(INDEX(Prospectos!$B:$B,MATCH(A46,Prospectos!$A:$A,0)),"")</f>
        <v/>
      </c>
      <c r="E46" s="11" t="n"/>
      <c r="F46" s="11" t="n"/>
      <c r="G46" s="11" t="n"/>
      <c r="H46" s="11" t="n"/>
      <c r="I46" s="11" t="n"/>
      <c r="J46" s="11" t="inlineStr">
        <is>
          <t>Por contactar</t>
        </is>
      </c>
      <c r="K46" s="16" t="n"/>
      <c r="L46" s="16" t="n"/>
      <c r="M46" s="11" t="n"/>
      <c r="N46" s="11" t="n"/>
      <c r="O46" s="16" t="n"/>
      <c r="P46" s="11">
        <f>IF(L46="","",TODAY()-L46)</f>
        <v/>
      </c>
      <c r="Q46" s="11" t="n"/>
      <c r="R46" s="17" t="n"/>
      <c r="S46" s="11" t="n"/>
      <c r="T46" s="13" t="inlineStr">
        <is>
          <t>✉️ Abrir correo</t>
        </is>
      </c>
      <c r="U46" s="13" t="inlineStr">
        <is>
          <t>↩️ Seguimiento</t>
        </is>
      </c>
      <c r="V46" s="13">
        <f>IF(A46="","",HYPERLINK("https://calendar.google.com/calendar/render?action=TEMPLATE&amp;text="&amp;"Racksa%3A%20"&amp;SUBSTITUTE(SUBSTITUTE(SUBSTITUTE(LEFT(B46,45),"&amp;","y")," ","%20"),"#","")&amp;"%20-%20seguimiento"&amp;"&amp;dates="&amp;YEAR(IF(O46="",TODAY()+3,O46))&amp;RIGHT("0"&amp;MONTH(IF(O46="",TODAY()+3,O46)),2)&amp;RIGHT("0"&amp;DAY(IF(O46="",TODAY()+3,O46)),2)&amp;"/"&amp;YEAR(IF(O46="",TODAY()+4,O46+1))&amp;RIGHT("0"&amp;MONTH(IF(O46="",TODAY()+4,O46+1)),2)&amp;RIGHT("0"&amp;DAY(IF(O46="",TODAY()+4,O46+1)),2),"📅 Agendar"))</f>
        <v/>
      </c>
    </row>
    <row r="47">
      <c r="A47" s="11" t="inlineStr">
        <is>
          <t>P046</t>
        </is>
      </c>
      <c r="B47" s="11">
        <f>IFERROR(INDEX(Prospectos!$F:$F,MATCH(A47,Prospectos!$A:$A,0)),"")</f>
        <v/>
      </c>
      <c r="C47" s="11">
        <f>IFERROR(INDEX(Prospectos!$D:$D,MATCH(A47,Prospectos!$A:$A,0)),"")</f>
        <v/>
      </c>
      <c r="D47" s="11">
        <f>IFERROR(INDEX(Prospectos!$B:$B,MATCH(A47,Prospectos!$A:$A,0)),"")</f>
        <v/>
      </c>
      <c r="E47" s="11" t="n"/>
      <c r="F47" s="11" t="n"/>
      <c r="G47" s="11" t="n"/>
      <c r="H47" s="11" t="n"/>
      <c r="I47" s="11" t="n"/>
      <c r="J47" s="11" t="inlineStr">
        <is>
          <t>Por contactar</t>
        </is>
      </c>
      <c r="K47" s="16" t="n"/>
      <c r="L47" s="16" t="n"/>
      <c r="M47" s="11" t="n"/>
      <c r="N47" s="11" t="n"/>
      <c r="O47" s="16" t="n"/>
      <c r="P47" s="11">
        <f>IF(L47="","",TODAY()-L47)</f>
        <v/>
      </c>
      <c r="Q47" s="11" t="n"/>
      <c r="R47" s="17" t="n"/>
      <c r="S47" s="11" t="n"/>
      <c r="T47" s="13" t="inlineStr">
        <is>
          <t>✉️ Abrir correo</t>
        </is>
      </c>
      <c r="U47" s="13" t="inlineStr">
        <is>
          <t>↩️ Seguimiento</t>
        </is>
      </c>
      <c r="V47" s="13">
        <f>IF(A47="","",HYPERLINK("https://calendar.google.com/calendar/render?action=TEMPLATE&amp;text="&amp;"Racksa%3A%20"&amp;SUBSTITUTE(SUBSTITUTE(SUBSTITUTE(LEFT(B47,45),"&amp;","y")," ","%20"),"#","")&amp;"%20-%20seguimiento"&amp;"&amp;dates="&amp;YEAR(IF(O47="",TODAY()+3,O47))&amp;RIGHT("0"&amp;MONTH(IF(O47="",TODAY()+3,O47)),2)&amp;RIGHT("0"&amp;DAY(IF(O47="",TODAY()+3,O47)),2)&amp;"/"&amp;YEAR(IF(O47="",TODAY()+4,O47+1))&amp;RIGHT("0"&amp;MONTH(IF(O47="",TODAY()+4,O47+1)),2)&amp;RIGHT("0"&amp;DAY(IF(O47="",TODAY()+4,O47+1)),2),"📅 Agendar"))</f>
        <v/>
      </c>
    </row>
    <row r="48">
      <c r="A48" s="11" t="inlineStr">
        <is>
          <t>P047</t>
        </is>
      </c>
      <c r="B48" s="11">
        <f>IFERROR(INDEX(Prospectos!$F:$F,MATCH(A48,Prospectos!$A:$A,0)),"")</f>
        <v/>
      </c>
      <c r="C48" s="11">
        <f>IFERROR(INDEX(Prospectos!$D:$D,MATCH(A48,Prospectos!$A:$A,0)),"")</f>
        <v/>
      </c>
      <c r="D48" s="11">
        <f>IFERROR(INDEX(Prospectos!$B:$B,MATCH(A48,Prospectos!$A:$A,0)),"")</f>
        <v/>
      </c>
      <c r="E48" s="11" t="n"/>
      <c r="F48" s="11" t="n"/>
      <c r="G48" s="11" t="n"/>
      <c r="H48" s="11" t="n"/>
      <c r="I48" s="11" t="n"/>
      <c r="J48" s="11" t="inlineStr">
        <is>
          <t>Por contactar</t>
        </is>
      </c>
      <c r="K48" s="16" t="n"/>
      <c r="L48" s="16" t="n"/>
      <c r="M48" s="11" t="n"/>
      <c r="N48" s="11" t="n"/>
      <c r="O48" s="16" t="n"/>
      <c r="P48" s="11">
        <f>IF(L48="","",TODAY()-L48)</f>
        <v/>
      </c>
      <c r="Q48" s="11" t="n"/>
      <c r="R48" s="17" t="n"/>
      <c r="S48" s="11" t="n"/>
      <c r="T48" s="13" t="inlineStr">
        <is>
          <t>✉️ Abrir correo</t>
        </is>
      </c>
      <c r="U48" s="13" t="inlineStr">
        <is>
          <t>↩️ Seguimiento</t>
        </is>
      </c>
      <c r="V48" s="13">
        <f>IF(A48="","",HYPERLINK("https://calendar.google.com/calendar/render?action=TEMPLATE&amp;text="&amp;"Racksa%3A%20"&amp;SUBSTITUTE(SUBSTITUTE(SUBSTITUTE(LEFT(B48,45),"&amp;","y")," ","%20"),"#","")&amp;"%20-%20seguimiento"&amp;"&amp;dates="&amp;YEAR(IF(O48="",TODAY()+3,O48))&amp;RIGHT("0"&amp;MONTH(IF(O48="",TODAY()+3,O48)),2)&amp;RIGHT("0"&amp;DAY(IF(O48="",TODAY()+3,O48)),2)&amp;"/"&amp;YEAR(IF(O48="",TODAY()+4,O48+1))&amp;RIGHT("0"&amp;MONTH(IF(O48="",TODAY()+4,O48+1)),2)&amp;RIGHT("0"&amp;DAY(IF(O48="",TODAY()+4,O48+1)),2),"📅 Agendar"))</f>
        <v/>
      </c>
    </row>
    <row r="49">
      <c r="A49" s="11" t="inlineStr">
        <is>
          <t>P048</t>
        </is>
      </c>
      <c r="B49" s="11">
        <f>IFERROR(INDEX(Prospectos!$F:$F,MATCH(A49,Prospectos!$A:$A,0)),"")</f>
        <v/>
      </c>
      <c r="C49" s="11">
        <f>IFERROR(INDEX(Prospectos!$D:$D,MATCH(A49,Prospectos!$A:$A,0)),"")</f>
        <v/>
      </c>
      <c r="D49" s="11">
        <f>IFERROR(INDEX(Prospectos!$B:$B,MATCH(A49,Prospectos!$A:$A,0)),"")</f>
        <v/>
      </c>
      <c r="E49" s="11" t="n"/>
      <c r="F49" s="11" t="n"/>
      <c r="G49" s="11" t="n"/>
      <c r="H49" s="11" t="n"/>
      <c r="I49" s="11" t="n"/>
      <c r="J49" s="11" t="inlineStr">
        <is>
          <t>Por contactar</t>
        </is>
      </c>
      <c r="K49" s="16" t="n"/>
      <c r="L49" s="16" t="n"/>
      <c r="M49" s="11" t="n"/>
      <c r="N49" s="11" t="n"/>
      <c r="O49" s="16" t="n"/>
      <c r="P49" s="11">
        <f>IF(L49="","",TODAY()-L49)</f>
        <v/>
      </c>
      <c r="Q49" s="11" t="n"/>
      <c r="R49" s="17" t="n"/>
      <c r="S49" s="11" t="n"/>
      <c r="T49" s="13" t="inlineStr">
        <is>
          <t>✉️ Abrir correo</t>
        </is>
      </c>
      <c r="U49" s="13" t="inlineStr">
        <is>
          <t>↩️ Seguimiento</t>
        </is>
      </c>
      <c r="V49" s="13">
        <f>IF(A49="","",HYPERLINK("https://calendar.google.com/calendar/render?action=TEMPLATE&amp;text="&amp;"Racksa%3A%20"&amp;SUBSTITUTE(SUBSTITUTE(SUBSTITUTE(LEFT(B49,45),"&amp;","y")," ","%20"),"#","")&amp;"%20-%20seguimiento"&amp;"&amp;dates="&amp;YEAR(IF(O49="",TODAY()+3,O49))&amp;RIGHT("0"&amp;MONTH(IF(O49="",TODAY()+3,O49)),2)&amp;RIGHT("0"&amp;DAY(IF(O49="",TODAY()+3,O49)),2)&amp;"/"&amp;YEAR(IF(O49="",TODAY()+4,O49+1))&amp;RIGHT("0"&amp;MONTH(IF(O49="",TODAY()+4,O49+1)),2)&amp;RIGHT("0"&amp;DAY(IF(O49="",TODAY()+4,O49+1)),2),"📅 Agendar"))</f>
        <v/>
      </c>
    </row>
    <row r="50">
      <c r="A50" s="11" t="inlineStr">
        <is>
          <t>P049</t>
        </is>
      </c>
      <c r="B50" s="11">
        <f>IFERROR(INDEX(Prospectos!$F:$F,MATCH(A50,Prospectos!$A:$A,0)),"")</f>
        <v/>
      </c>
      <c r="C50" s="11">
        <f>IFERROR(INDEX(Prospectos!$D:$D,MATCH(A50,Prospectos!$A:$A,0)),"")</f>
        <v/>
      </c>
      <c r="D50" s="11">
        <f>IFERROR(INDEX(Prospectos!$B:$B,MATCH(A50,Prospectos!$A:$A,0)),"")</f>
        <v/>
      </c>
      <c r="E50" s="11" t="n"/>
      <c r="F50" s="11" t="n"/>
      <c r="G50" s="11" t="n"/>
      <c r="H50" s="11" t="n"/>
      <c r="I50" s="11" t="n"/>
      <c r="J50" s="11" t="inlineStr">
        <is>
          <t>Por contactar</t>
        </is>
      </c>
      <c r="K50" s="16" t="n"/>
      <c r="L50" s="16" t="n"/>
      <c r="M50" s="11" t="n"/>
      <c r="N50" s="11" t="n"/>
      <c r="O50" s="16" t="n"/>
      <c r="P50" s="11">
        <f>IF(L50="","",TODAY()-L50)</f>
        <v/>
      </c>
      <c r="Q50" s="11" t="n"/>
      <c r="R50" s="17" t="n"/>
      <c r="S50" s="11" t="n"/>
      <c r="T50" s="13" t="inlineStr">
        <is>
          <t>✉️ Abrir correo</t>
        </is>
      </c>
      <c r="U50" s="13" t="inlineStr">
        <is>
          <t>↩️ Seguimiento</t>
        </is>
      </c>
      <c r="V50" s="13">
        <f>IF(A50="","",HYPERLINK("https://calendar.google.com/calendar/render?action=TEMPLATE&amp;text="&amp;"Racksa%3A%20"&amp;SUBSTITUTE(SUBSTITUTE(SUBSTITUTE(LEFT(B50,45),"&amp;","y")," ","%20"),"#","")&amp;"%20-%20seguimiento"&amp;"&amp;dates="&amp;YEAR(IF(O50="",TODAY()+3,O50))&amp;RIGHT("0"&amp;MONTH(IF(O50="",TODAY()+3,O50)),2)&amp;RIGHT("0"&amp;DAY(IF(O50="",TODAY()+3,O50)),2)&amp;"/"&amp;YEAR(IF(O50="",TODAY()+4,O50+1))&amp;RIGHT("0"&amp;MONTH(IF(O50="",TODAY()+4,O50+1)),2)&amp;RIGHT("0"&amp;DAY(IF(O50="",TODAY()+4,O50+1)),2),"📅 Agendar"))</f>
        <v/>
      </c>
    </row>
    <row r="51">
      <c r="A51" s="11" t="inlineStr">
        <is>
          <t>P050</t>
        </is>
      </c>
      <c r="B51" s="11">
        <f>IFERROR(INDEX(Prospectos!$F:$F,MATCH(A51,Prospectos!$A:$A,0)),"")</f>
        <v/>
      </c>
      <c r="C51" s="11">
        <f>IFERROR(INDEX(Prospectos!$D:$D,MATCH(A51,Prospectos!$A:$A,0)),"")</f>
        <v/>
      </c>
      <c r="D51" s="11">
        <f>IFERROR(INDEX(Prospectos!$B:$B,MATCH(A51,Prospectos!$A:$A,0)),"")</f>
        <v/>
      </c>
      <c r="E51" s="11" t="n"/>
      <c r="F51" s="11" t="n"/>
      <c r="G51" s="11" t="n"/>
      <c r="H51" s="11" t="n"/>
      <c r="I51" s="11" t="n"/>
      <c r="J51" s="11" t="inlineStr">
        <is>
          <t>Por contactar</t>
        </is>
      </c>
      <c r="K51" s="16" t="n"/>
      <c r="L51" s="16" t="n"/>
      <c r="M51" s="11" t="n"/>
      <c r="N51" s="11" t="n"/>
      <c r="O51" s="16" t="n"/>
      <c r="P51" s="11">
        <f>IF(L51="","",TODAY()-L51)</f>
        <v/>
      </c>
      <c r="Q51" s="11" t="n"/>
      <c r="R51" s="17" t="n"/>
      <c r="S51" s="11" t="n"/>
      <c r="T51" s="13" t="inlineStr">
        <is>
          <t>✉️ Abrir correo</t>
        </is>
      </c>
      <c r="U51" s="13" t="inlineStr">
        <is>
          <t>↩️ Seguimiento</t>
        </is>
      </c>
      <c r="V51" s="13">
        <f>IF(A51="","",HYPERLINK("https://calendar.google.com/calendar/render?action=TEMPLATE&amp;text="&amp;"Racksa%3A%20"&amp;SUBSTITUTE(SUBSTITUTE(SUBSTITUTE(LEFT(B51,45),"&amp;","y")," ","%20"),"#","")&amp;"%20-%20seguimiento"&amp;"&amp;dates="&amp;YEAR(IF(O51="",TODAY()+3,O51))&amp;RIGHT("0"&amp;MONTH(IF(O51="",TODAY()+3,O51)),2)&amp;RIGHT("0"&amp;DAY(IF(O51="",TODAY()+3,O51)),2)&amp;"/"&amp;YEAR(IF(O51="",TODAY()+4,O51+1))&amp;RIGHT("0"&amp;MONTH(IF(O51="",TODAY()+4,O51+1)),2)&amp;RIGHT("0"&amp;DAY(IF(O51="",TODAY()+4,O51+1)),2),"📅 Agendar"))</f>
        <v/>
      </c>
    </row>
    <row r="52">
      <c r="A52" s="11" t="inlineStr">
        <is>
          <t>P051</t>
        </is>
      </c>
      <c r="B52" s="11">
        <f>IFERROR(INDEX(Prospectos!$F:$F,MATCH(A52,Prospectos!$A:$A,0)),"")</f>
        <v/>
      </c>
      <c r="C52" s="11">
        <f>IFERROR(INDEX(Prospectos!$D:$D,MATCH(A52,Prospectos!$A:$A,0)),"")</f>
        <v/>
      </c>
      <c r="D52" s="11">
        <f>IFERROR(INDEX(Prospectos!$B:$B,MATCH(A52,Prospectos!$A:$A,0)),"")</f>
        <v/>
      </c>
      <c r="E52" s="11" t="n"/>
      <c r="F52" s="11" t="n"/>
      <c r="G52" s="11" t="n"/>
      <c r="H52" s="11" t="n"/>
      <c r="I52" s="11" t="n"/>
      <c r="J52" s="11" t="inlineStr">
        <is>
          <t>Por contactar</t>
        </is>
      </c>
      <c r="K52" s="16" t="n"/>
      <c r="L52" s="16" t="n"/>
      <c r="M52" s="11" t="n"/>
      <c r="N52" s="11" t="n"/>
      <c r="O52" s="16" t="n"/>
      <c r="P52" s="11">
        <f>IF(L52="","",TODAY()-L52)</f>
        <v/>
      </c>
      <c r="Q52" s="11" t="n"/>
      <c r="R52" s="17" t="n"/>
      <c r="S52" s="11" t="n"/>
      <c r="T52" s="13" t="inlineStr">
        <is>
          <t>✉️ Abrir correo</t>
        </is>
      </c>
      <c r="U52" s="13" t="inlineStr">
        <is>
          <t>↩️ Seguimiento</t>
        </is>
      </c>
      <c r="V52" s="13">
        <f>IF(A52="","",HYPERLINK("https://calendar.google.com/calendar/render?action=TEMPLATE&amp;text="&amp;"Racksa%3A%20"&amp;SUBSTITUTE(SUBSTITUTE(SUBSTITUTE(LEFT(B52,45),"&amp;","y")," ","%20"),"#","")&amp;"%20-%20seguimiento"&amp;"&amp;dates="&amp;YEAR(IF(O52="",TODAY()+3,O52))&amp;RIGHT("0"&amp;MONTH(IF(O52="",TODAY()+3,O52)),2)&amp;RIGHT("0"&amp;DAY(IF(O52="",TODAY()+3,O52)),2)&amp;"/"&amp;YEAR(IF(O52="",TODAY()+4,O52+1))&amp;RIGHT("0"&amp;MONTH(IF(O52="",TODAY()+4,O52+1)),2)&amp;RIGHT("0"&amp;DAY(IF(O52="",TODAY()+4,O52+1)),2),"📅 Agendar"))</f>
        <v/>
      </c>
    </row>
    <row r="53">
      <c r="A53" s="11" t="inlineStr">
        <is>
          <t>P052</t>
        </is>
      </c>
      <c r="B53" s="11">
        <f>IFERROR(INDEX(Prospectos!$F:$F,MATCH(A53,Prospectos!$A:$A,0)),"")</f>
        <v/>
      </c>
      <c r="C53" s="11">
        <f>IFERROR(INDEX(Prospectos!$D:$D,MATCH(A53,Prospectos!$A:$A,0)),"")</f>
        <v/>
      </c>
      <c r="D53" s="11">
        <f>IFERROR(INDEX(Prospectos!$B:$B,MATCH(A53,Prospectos!$A:$A,0)),"")</f>
        <v/>
      </c>
      <c r="E53" s="11" t="n"/>
      <c r="F53" s="11" t="n"/>
      <c r="G53" s="11" t="n"/>
      <c r="H53" s="11" t="n"/>
      <c r="I53" s="11" t="n"/>
      <c r="J53" s="11" t="inlineStr">
        <is>
          <t>Por contactar</t>
        </is>
      </c>
      <c r="K53" s="16" t="n"/>
      <c r="L53" s="16" t="n"/>
      <c r="M53" s="11" t="n"/>
      <c r="N53" s="11" t="n"/>
      <c r="O53" s="16" t="n"/>
      <c r="P53" s="11">
        <f>IF(L53="","",TODAY()-L53)</f>
        <v/>
      </c>
      <c r="Q53" s="11" t="n"/>
      <c r="R53" s="17" t="n"/>
      <c r="S53" s="11" t="n"/>
      <c r="T53" s="13" t="inlineStr">
        <is>
          <t>✉️ Abrir correo</t>
        </is>
      </c>
      <c r="U53" s="13" t="inlineStr">
        <is>
          <t>↩️ Seguimiento</t>
        </is>
      </c>
      <c r="V53" s="13">
        <f>IF(A53="","",HYPERLINK("https://calendar.google.com/calendar/render?action=TEMPLATE&amp;text="&amp;"Racksa%3A%20"&amp;SUBSTITUTE(SUBSTITUTE(SUBSTITUTE(LEFT(B53,45),"&amp;","y")," ","%20"),"#","")&amp;"%20-%20seguimiento"&amp;"&amp;dates="&amp;YEAR(IF(O53="",TODAY()+3,O53))&amp;RIGHT("0"&amp;MONTH(IF(O53="",TODAY()+3,O53)),2)&amp;RIGHT("0"&amp;DAY(IF(O53="",TODAY()+3,O53)),2)&amp;"/"&amp;YEAR(IF(O53="",TODAY()+4,O53+1))&amp;RIGHT("0"&amp;MONTH(IF(O53="",TODAY()+4,O53+1)),2)&amp;RIGHT("0"&amp;DAY(IF(O53="",TODAY()+4,O53+1)),2),"📅 Agendar"))</f>
        <v/>
      </c>
    </row>
    <row r="54">
      <c r="A54" s="11" t="inlineStr">
        <is>
          <t>P053</t>
        </is>
      </c>
      <c r="B54" s="11">
        <f>IFERROR(INDEX(Prospectos!$F:$F,MATCH(A54,Prospectos!$A:$A,0)),"")</f>
        <v/>
      </c>
      <c r="C54" s="11">
        <f>IFERROR(INDEX(Prospectos!$D:$D,MATCH(A54,Prospectos!$A:$A,0)),"")</f>
        <v/>
      </c>
      <c r="D54" s="11">
        <f>IFERROR(INDEX(Prospectos!$B:$B,MATCH(A54,Prospectos!$A:$A,0)),"")</f>
        <v/>
      </c>
      <c r="E54" s="11" t="n"/>
      <c r="F54" s="11" t="n"/>
      <c r="G54" s="11" t="n"/>
      <c r="H54" s="11" t="n"/>
      <c r="I54" s="11" t="n"/>
      <c r="J54" s="11" t="inlineStr">
        <is>
          <t>Por contactar</t>
        </is>
      </c>
      <c r="K54" s="16" t="n"/>
      <c r="L54" s="16" t="n"/>
      <c r="M54" s="11" t="n"/>
      <c r="N54" s="11" t="n"/>
      <c r="O54" s="16" t="n"/>
      <c r="P54" s="11">
        <f>IF(L54="","",TODAY()-L54)</f>
        <v/>
      </c>
      <c r="Q54" s="11" t="n"/>
      <c r="R54" s="17" t="n"/>
      <c r="S54" s="11" t="n"/>
      <c r="T54" s="13" t="inlineStr">
        <is>
          <t>✉️ Abrir correo</t>
        </is>
      </c>
      <c r="U54" s="13" t="inlineStr">
        <is>
          <t>↩️ Seguimiento</t>
        </is>
      </c>
      <c r="V54" s="13">
        <f>IF(A54="","",HYPERLINK("https://calendar.google.com/calendar/render?action=TEMPLATE&amp;text="&amp;"Racksa%3A%20"&amp;SUBSTITUTE(SUBSTITUTE(SUBSTITUTE(LEFT(B54,45),"&amp;","y")," ","%20"),"#","")&amp;"%20-%20seguimiento"&amp;"&amp;dates="&amp;YEAR(IF(O54="",TODAY()+3,O54))&amp;RIGHT("0"&amp;MONTH(IF(O54="",TODAY()+3,O54)),2)&amp;RIGHT("0"&amp;DAY(IF(O54="",TODAY()+3,O54)),2)&amp;"/"&amp;YEAR(IF(O54="",TODAY()+4,O54+1))&amp;RIGHT("0"&amp;MONTH(IF(O54="",TODAY()+4,O54+1)),2)&amp;RIGHT("0"&amp;DAY(IF(O54="",TODAY()+4,O54+1)),2),"📅 Agendar"))</f>
        <v/>
      </c>
    </row>
    <row r="55">
      <c r="A55" s="11" t="inlineStr">
        <is>
          <t>P054</t>
        </is>
      </c>
      <c r="B55" s="11">
        <f>IFERROR(INDEX(Prospectos!$F:$F,MATCH(A55,Prospectos!$A:$A,0)),"")</f>
        <v/>
      </c>
      <c r="C55" s="11">
        <f>IFERROR(INDEX(Prospectos!$D:$D,MATCH(A55,Prospectos!$A:$A,0)),"")</f>
        <v/>
      </c>
      <c r="D55" s="11">
        <f>IFERROR(INDEX(Prospectos!$B:$B,MATCH(A55,Prospectos!$A:$A,0)),"")</f>
        <v/>
      </c>
      <c r="E55" s="11" t="n"/>
      <c r="F55" s="11" t="n"/>
      <c r="G55" s="11" t="n"/>
      <c r="H55" s="11" t="n"/>
      <c r="I55" s="11" t="n"/>
      <c r="J55" s="11" t="inlineStr">
        <is>
          <t>Por contactar</t>
        </is>
      </c>
      <c r="K55" s="16" t="n"/>
      <c r="L55" s="16" t="n"/>
      <c r="M55" s="11" t="n"/>
      <c r="N55" s="11" t="n"/>
      <c r="O55" s="16" t="n"/>
      <c r="P55" s="11">
        <f>IF(L55="","",TODAY()-L55)</f>
        <v/>
      </c>
      <c r="Q55" s="11" t="n"/>
      <c r="R55" s="17" t="n"/>
      <c r="S55" s="11" t="n"/>
      <c r="T55" s="13" t="inlineStr">
        <is>
          <t>✉️ Abrir correo</t>
        </is>
      </c>
      <c r="U55" s="13" t="inlineStr">
        <is>
          <t>↩️ Seguimiento</t>
        </is>
      </c>
      <c r="V55" s="13">
        <f>IF(A55="","",HYPERLINK("https://calendar.google.com/calendar/render?action=TEMPLATE&amp;text="&amp;"Racksa%3A%20"&amp;SUBSTITUTE(SUBSTITUTE(SUBSTITUTE(LEFT(B55,45),"&amp;","y")," ","%20"),"#","")&amp;"%20-%20seguimiento"&amp;"&amp;dates="&amp;YEAR(IF(O55="",TODAY()+3,O55))&amp;RIGHT("0"&amp;MONTH(IF(O55="",TODAY()+3,O55)),2)&amp;RIGHT("0"&amp;DAY(IF(O55="",TODAY()+3,O55)),2)&amp;"/"&amp;YEAR(IF(O55="",TODAY()+4,O55+1))&amp;RIGHT("0"&amp;MONTH(IF(O55="",TODAY()+4,O55+1)),2)&amp;RIGHT("0"&amp;DAY(IF(O55="",TODAY()+4,O55+1)),2),"📅 Agendar"))</f>
        <v/>
      </c>
    </row>
    <row r="56">
      <c r="A56" s="11" t="inlineStr">
        <is>
          <t>P055</t>
        </is>
      </c>
      <c r="B56" s="11">
        <f>IFERROR(INDEX(Prospectos!$F:$F,MATCH(A56,Prospectos!$A:$A,0)),"")</f>
        <v/>
      </c>
      <c r="C56" s="11">
        <f>IFERROR(INDEX(Prospectos!$D:$D,MATCH(A56,Prospectos!$A:$A,0)),"")</f>
        <v/>
      </c>
      <c r="D56" s="11">
        <f>IFERROR(INDEX(Prospectos!$B:$B,MATCH(A56,Prospectos!$A:$A,0)),"")</f>
        <v/>
      </c>
      <c r="E56" s="11" t="n"/>
      <c r="F56" s="11" t="n"/>
      <c r="G56" s="11" t="n"/>
      <c r="H56" s="11" t="n"/>
      <c r="I56" s="11" t="n"/>
      <c r="J56" s="11" t="inlineStr">
        <is>
          <t>Por contactar</t>
        </is>
      </c>
      <c r="K56" s="16" t="n"/>
      <c r="L56" s="16" t="n"/>
      <c r="M56" s="11" t="n"/>
      <c r="N56" s="11" t="n"/>
      <c r="O56" s="16" t="n"/>
      <c r="P56" s="11">
        <f>IF(L56="","",TODAY()-L56)</f>
        <v/>
      </c>
      <c r="Q56" s="11" t="n"/>
      <c r="R56" s="17" t="n"/>
      <c r="S56" s="11" t="n"/>
      <c r="T56" s="13" t="inlineStr">
        <is>
          <t>✉️ Abrir correo</t>
        </is>
      </c>
      <c r="U56" s="13" t="inlineStr">
        <is>
          <t>↩️ Seguimiento</t>
        </is>
      </c>
      <c r="V56" s="13">
        <f>IF(A56="","",HYPERLINK("https://calendar.google.com/calendar/render?action=TEMPLATE&amp;text="&amp;"Racksa%3A%20"&amp;SUBSTITUTE(SUBSTITUTE(SUBSTITUTE(LEFT(B56,45),"&amp;","y")," ","%20"),"#","")&amp;"%20-%20seguimiento"&amp;"&amp;dates="&amp;YEAR(IF(O56="",TODAY()+3,O56))&amp;RIGHT("0"&amp;MONTH(IF(O56="",TODAY()+3,O56)),2)&amp;RIGHT("0"&amp;DAY(IF(O56="",TODAY()+3,O56)),2)&amp;"/"&amp;YEAR(IF(O56="",TODAY()+4,O56+1))&amp;RIGHT("0"&amp;MONTH(IF(O56="",TODAY()+4,O56+1)),2)&amp;RIGHT("0"&amp;DAY(IF(O56="",TODAY()+4,O56+1)),2),"📅 Agendar"))</f>
        <v/>
      </c>
    </row>
    <row r="57">
      <c r="A57" s="11" t="inlineStr">
        <is>
          <t>P056</t>
        </is>
      </c>
      <c r="B57" s="11">
        <f>IFERROR(INDEX(Prospectos!$F:$F,MATCH(A57,Prospectos!$A:$A,0)),"")</f>
        <v/>
      </c>
      <c r="C57" s="11">
        <f>IFERROR(INDEX(Prospectos!$D:$D,MATCH(A57,Prospectos!$A:$A,0)),"")</f>
        <v/>
      </c>
      <c r="D57" s="11">
        <f>IFERROR(INDEX(Prospectos!$B:$B,MATCH(A57,Prospectos!$A:$A,0)),"")</f>
        <v/>
      </c>
      <c r="E57" s="11" t="n"/>
      <c r="F57" s="11" t="n"/>
      <c r="G57" s="11" t="n"/>
      <c r="H57" s="11" t="n"/>
      <c r="I57" s="11" t="n"/>
      <c r="J57" s="11" t="inlineStr">
        <is>
          <t>Por contactar</t>
        </is>
      </c>
      <c r="K57" s="16" t="n"/>
      <c r="L57" s="16" t="n"/>
      <c r="M57" s="11" t="n"/>
      <c r="N57" s="11" t="n"/>
      <c r="O57" s="16" t="n"/>
      <c r="P57" s="11">
        <f>IF(L57="","",TODAY()-L57)</f>
        <v/>
      </c>
      <c r="Q57" s="11" t="n"/>
      <c r="R57" s="17" t="n"/>
      <c r="S57" s="11" t="n"/>
      <c r="T57" s="13" t="inlineStr">
        <is>
          <t>✉️ Abrir correo</t>
        </is>
      </c>
      <c r="U57" s="13" t="inlineStr">
        <is>
          <t>↩️ Seguimiento</t>
        </is>
      </c>
      <c r="V57" s="13">
        <f>IF(A57="","",HYPERLINK("https://calendar.google.com/calendar/render?action=TEMPLATE&amp;text="&amp;"Racksa%3A%20"&amp;SUBSTITUTE(SUBSTITUTE(SUBSTITUTE(LEFT(B57,45),"&amp;","y")," ","%20"),"#","")&amp;"%20-%20seguimiento"&amp;"&amp;dates="&amp;YEAR(IF(O57="",TODAY()+3,O57))&amp;RIGHT("0"&amp;MONTH(IF(O57="",TODAY()+3,O57)),2)&amp;RIGHT("0"&amp;DAY(IF(O57="",TODAY()+3,O57)),2)&amp;"/"&amp;YEAR(IF(O57="",TODAY()+4,O57+1))&amp;RIGHT("0"&amp;MONTH(IF(O57="",TODAY()+4,O57+1)),2)&amp;RIGHT("0"&amp;DAY(IF(O57="",TODAY()+4,O57+1)),2),"📅 Agendar"))</f>
        <v/>
      </c>
    </row>
    <row r="58">
      <c r="A58" s="11" t="inlineStr">
        <is>
          <t>P057</t>
        </is>
      </c>
      <c r="B58" s="11">
        <f>IFERROR(INDEX(Prospectos!$F:$F,MATCH(A58,Prospectos!$A:$A,0)),"")</f>
        <v/>
      </c>
      <c r="C58" s="11">
        <f>IFERROR(INDEX(Prospectos!$D:$D,MATCH(A58,Prospectos!$A:$A,0)),"")</f>
        <v/>
      </c>
      <c r="D58" s="11">
        <f>IFERROR(INDEX(Prospectos!$B:$B,MATCH(A58,Prospectos!$A:$A,0)),"")</f>
        <v/>
      </c>
      <c r="E58" s="11" t="n"/>
      <c r="F58" s="11" t="n"/>
      <c r="G58" s="11" t="n"/>
      <c r="H58" s="11" t="n"/>
      <c r="I58" s="11" t="n"/>
      <c r="J58" s="11" t="inlineStr">
        <is>
          <t>Por contactar</t>
        </is>
      </c>
      <c r="K58" s="16" t="n"/>
      <c r="L58" s="16" t="n"/>
      <c r="M58" s="11" t="n"/>
      <c r="N58" s="11" t="n"/>
      <c r="O58" s="16" t="n"/>
      <c r="P58" s="11">
        <f>IF(L58="","",TODAY()-L58)</f>
        <v/>
      </c>
      <c r="Q58" s="11" t="n"/>
      <c r="R58" s="17" t="n"/>
      <c r="S58" s="11" t="n"/>
      <c r="T58" s="13" t="inlineStr">
        <is>
          <t>✉️ Abrir correo</t>
        </is>
      </c>
      <c r="U58" s="13" t="inlineStr">
        <is>
          <t>↩️ Seguimiento</t>
        </is>
      </c>
      <c r="V58" s="13">
        <f>IF(A58="","",HYPERLINK("https://calendar.google.com/calendar/render?action=TEMPLATE&amp;text="&amp;"Racksa%3A%20"&amp;SUBSTITUTE(SUBSTITUTE(SUBSTITUTE(LEFT(B58,45),"&amp;","y")," ","%20"),"#","")&amp;"%20-%20seguimiento"&amp;"&amp;dates="&amp;YEAR(IF(O58="",TODAY()+3,O58))&amp;RIGHT("0"&amp;MONTH(IF(O58="",TODAY()+3,O58)),2)&amp;RIGHT("0"&amp;DAY(IF(O58="",TODAY()+3,O58)),2)&amp;"/"&amp;YEAR(IF(O58="",TODAY()+4,O58+1))&amp;RIGHT("0"&amp;MONTH(IF(O58="",TODAY()+4,O58+1)),2)&amp;RIGHT("0"&amp;DAY(IF(O58="",TODAY()+4,O58+1)),2),"📅 Agendar"))</f>
        <v/>
      </c>
    </row>
    <row r="59">
      <c r="A59" s="11" t="inlineStr">
        <is>
          <t>P058</t>
        </is>
      </c>
      <c r="B59" s="11">
        <f>IFERROR(INDEX(Prospectos!$F:$F,MATCH(A59,Prospectos!$A:$A,0)),"")</f>
        <v/>
      </c>
      <c r="C59" s="11">
        <f>IFERROR(INDEX(Prospectos!$D:$D,MATCH(A59,Prospectos!$A:$A,0)),"")</f>
        <v/>
      </c>
      <c r="D59" s="11">
        <f>IFERROR(INDEX(Prospectos!$B:$B,MATCH(A59,Prospectos!$A:$A,0)),"")</f>
        <v/>
      </c>
      <c r="E59" s="11" t="n"/>
      <c r="F59" s="11" t="n"/>
      <c r="G59" s="11" t="n"/>
      <c r="H59" s="11" t="n"/>
      <c r="I59" s="11" t="n"/>
      <c r="J59" s="11" t="inlineStr">
        <is>
          <t>Por contactar</t>
        </is>
      </c>
      <c r="K59" s="16" t="n"/>
      <c r="L59" s="16" t="n"/>
      <c r="M59" s="11" t="n"/>
      <c r="N59" s="11" t="n"/>
      <c r="O59" s="16" t="n"/>
      <c r="P59" s="11">
        <f>IF(L59="","",TODAY()-L59)</f>
        <v/>
      </c>
      <c r="Q59" s="11" t="n"/>
      <c r="R59" s="17" t="n"/>
      <c r="S59" s="11" t="n"/>
      <c r="T59" s="13" t="inlineStr">
        <is>
          <t>✉️ Abrir correo</t>
        </is>
      </c>
      <c r="U59" s="13" t="inlineStr">
        <is>
          <t>↩️ Seguimiento</t>
        </is>
      </c>
      <c r="V59" s="13">
        <f>IF(A59="","",HYPERLINK("https://calendar.google.com/calendar/render?action=TEMPLATE&amp;text="&amp;"Racksa%3A%20"&amp;SUBSTITUTE(SUBSTITUTE(SUBSTITUTE(LEFT(B59,45),"&amp;","y")," ","%20"),"#","")&amp;"%20-%20seguimiento"&amp;"&amp;dates="&amp;YEAR(IF(O59="",TODAY()+3,O59))&amp;RIGHT("0"&amp;MONTH(IF(O59="",TODAY()+3,O59)),2)&amp;RIGHT("0"&amp;DAY(IF(O59="",TODAY()+3,O59)),2)&amp;"/"&amp;YEAR(IF(O59="",TODAY()+4,O59+1))&amp;RIGHT("0"&amp;MONTH(IF(O59="",TODAY()+4,O59+1)),2)&amp;RIGHT("0"&amp;DAY(IF(O59="",TODAY()+4,O59+1)),2),"📅 Agendar"))</f>
        <v/>
      </c>
    </row>
    <row r="60">
      <c r="A60" s="11" t="inlineStr">
        <is>
          <t>P059</t>
        </is>
      </c>
      <c r="B60" s="11">
        <f>IFERROR(INDEX(Prospectos!$F:$F,MATCH(A60,Prospectos!$A:$A,0)),"")</f>
        <v/>
      </c>
      <c r="C60" s="11">
        <f>IFERROR(INDEX(Prospectos!$D:$D,MATCH(A60,Prospectos!$A:$A,0)),"")</f>
        <v/>
      </c>
      <c r="D60" s="11">
        <f>IFERROR(INDEX(Prospectos!$B:$B,MATCH(A60,Prospectos!$A:$A,0)),"")</f>
        <v/>
      </c>
      <c r="E60" s="11" t="n"/>
      <c r="F60" s="11" t="n"/>
      <c r="G60" s="11" t="n"/>
      <c r="H60" s="11" t="n"/>
      <c r="I60" s="11" t="n"/>
      <c r="J60" s="11" t="inlineStr">
        <is>
          <t>Por contactar</t>
        </is>
      </c>
      <c r="K60" s="16" t="n"/>
      <c r="L60" s="16" t="n"/>
      <c r="M60" s="11" t="n"/>
      <c r="N60" s="11" t="n"/>
      <c r="O60" s="16" t="n"/>
      <c r="P60" s="11">
        <f>IF(L60="","",TODAY()-L60)</f>
        <v/>
      </c>
      <c r="Q60" s="11" t="n"/>
      <c r="R60" s="17" t="n"/>
      <c r="S60" s="11" t="n"/>
      <c r="T60" s="13" t="inlineStr">
        <is>
          <t>✉️ Abrir correo</t>
        </is>
      </c>
      <c r="U60" s="13" t="inlineStr">
        <is>
          <t>↩️ Seguimiento</t>
        </is>
      </c>
      <c r="V60" s="13">
        <f>IF(A60="","",HYPERLINK("https://calendar.google.com/calendar/render?action=TEMPLATE&amp;text="&amp;"Racksa%3A%20"&amp;SUBSTITUTE(SUBSTITUTE(SUBSTITUTE(LEFT(B60,45),"&amp;","y")," ","%20"),"#","")&amp;"%20-%20seguimiento"&amp;"&amp;dates="&amp;YEAR(IF(O60="",TODAY()+3,O60))&amp;RIGHT("0"&amp;MONTH(IF(O60="",TODAY()+3,O60)),2)&amp;RIGHT("0"&amp;DAY(IF(O60="",TODAY()+3,O60)),2)&amp;"/"&amp;YEAR(IF(O60="",TODAY()+4,O60+1))&amp;RIGHT("0"&amp;MONTH(IF(O60="",TODAY()+4,O60+1)),2)&amp;RIGHT("0"&amp;DAY(IF(O60="",TODAY()+4,O60+1)),2),"📅 Agendar"))</f>
        <v/>
      </c>
    </row>
    <row r="61">
      <c r="A61" s="11" t="inlineStr">
        <is>
          <t>P060</t>
        </is>
      </c>
      <c r="B61" s="11">
        <f>IFERROR(INDEX(Prospectos!$F:$F,MATCH(A61,Prospectos!$A:$A,0)),"")</f>
        <v/>
      </c>
      <c r="C61" s="11">
        <f>IFERROR(INDEX(Prospectos!$D:$D,MATCH(A61,Prospectos!$A:$A,0)),"")</f>
        <v/>
      </c>
      <c r="D61" s="11">
        <f>IFERROR(INDEX(Prospectos!$B:$B,MATCH(A61,Prospectos!$A:$A,0)),"")</f>
        <v/>
      </c>
      <c r="E61" s="11" t="n"/>
      <c r="F61" s="11" t="n"/>
      <c r="G61" s="11" t="n"/>
      <c r="H61" s="11" t="n"/>
      <c r="I61" s="11" t="n"/>
      <c r="J61" s="11" t="inlineStr">
        <is>
          <t>Por contactar</t>
        </is>
      </c>
      <c r="K61" s="16" t="n"/>
      <c r="L61" s="16" t="n"/>
      <c r="M61" s="11" t="n"/>
      <c r="N61" s="11" t="n"/>
      <c r="O61" s="16" t="n"/>
      <c r="P61" s="11">
        <f>IF(L61="","",TODAY()-L61)</f>
        <v/>
      </c>
      <c r="Q61" s="11" t="n"/>
      <c r="R61" s="17" t="n"/>
      <c r="S61" s="11" t="n"/>
      <c r="T61" s="13" t="inlineStr">
        <is>
          <t>✉️ Abrir correo</t>
        </is>
      </c>
      <c r="U61" s="13" t="inlineStr">
        <is>
          <t>↩️ Seguimiento</t>
        </is>
      </c>
      <c r="V61" s="13">
        <f>IF(A61="","",HYPERLINK("https://calendar.google.com/calendar/render?action=TEMPLATE&amp;text="&amp;"Racksa%3A%20"&amp;SUBSTITUTE(SUBSTITUTE(SUBSTITUTE(LEFT(B61,45),"&amp;","y")," ","%20"),"#","")&amp;"%20-%20seguimiento"&amp;"&amp;dates="&amp;YEAR(IF(O61="",TODAY()+3,O61))&amp;RIGHT("0"&amp;MONTH(IF(O61="",TODAY()+3,O61)),2)&amp;RIGHT("0"&amp;DAY(IF(O61="",TODAY()+3,O61)),2)&amp;"/"&amp;YEAR(IF(O61="",TODAY()+4,O61+1))&amp;RIGHT("0"&amp;MONTH(IF(O61="",TODAY()+4,O61+1)),2)&amp;RIGHT("0"&amp;DAY(IF(O61="",TODAY()+4,O61+1)),2),"📅 Agendar"))</f>
        <v/>
      </c>
    </row>
    <row r="62">
      <c r="A62" s="11" t="inlineStr">
        <is>
          <t>P061</t>
        </is>
      </c>
      <c r="B62" s="11">
        <f>IFERROR(INDEX(Prospectos!$F:$F,MATCH(A62,Prospectos!$A:$A,0)),"")</f>
        <v/>
      </c>
      <c r="C62" s="11">
        <f>IFERROR(INDEX(Prospectos!$D:$D,MATCH(A62,Prospectos!$A:$A,0)),"")</f>
        <v/>
      </c>
      <c r="D62" s="11">
        <f>IFERROR(INDEX(Prospectos!$B:$B,MATCH(A62,Prospectos!$A:$A,0)),"")</f>
        <v/>
      </c>
      <c r="E62" s="11" t="n"/>
      <c r="F62" s="11" t="n"/>
      <c r="G62" s="11" t="n"/>
      <c r="H62" s="11" t="n"/>
      <c r="I62" s="11" t="n"/>
      <c r="J62" s="11" t="inlineStr">
        <is>
          <t>Por contactar</t>
        </is>
      </c>
      <c r="K62" s="16" t="n"/>
      <c r="L62" s="16" t="n"/>
      <c r="M62" s="11" t="n"/>
      <c r="N62" s="11" t="n"/>
      <c r="O62" s="16" t="n"/>
      <c r="P62" s="11">
        <f>IF(L62="","",TODAY()-L62)</f>
        <v/>
      </c>
      <c r="Q62" s="11" t="n"/>
      <c r="R62" s="17" t="n"/>
      <c r="S62" s="11" t="n"/>
      <c r="T62" s="13" t="inlineStr">
        <is>
          <t>✉️ Abrir correo</t>
        </is>
      </c>
      <c r="U62" s="13" t="inlineStr">
        <is>
          <t>↩️ Seguimiento</t>
        </is>
      </c>
      <c r="V62" s="13">
        <f>IF(A62="","",HYPERLINK("https://calendar.google.com/calendar/render?action=TEMPLATE&amp;text="&amp;"Racksa%3A%20"&amp;SUBSTITUTE(SUBSTITUTE(SUBSTITUTE(LEFT(B62,45),"&amp;","y")," ","%20"),"#","")&amp;"%20-%20seguimiento"&amp;"&amp;dates="&amp;YEAR(IF(O62="",TODAY()+3,O62))&amp;RIGHT("0"&amp;MONTH(IF(O62="",TODAY()+3,O62)),2)&amp;RIGHT("0"&amp;DAY(IF(O62="",TODAY()+3,O62)),2)&amp;"/"&amp;YEAR(IF(O62="",TODAY()+4,O62+1))&amp;RIGHT("0"&amp;MONTH(IF(O62="",TODAY()+4,O62+1)),2)&amp;RIGHT("0"&amp;DAY(IF(O62="",TODAY()+4,O62+1)),2),"📅 Agendar"))</f>
        <v/>
      </c>
    </row>
    <row r="63">
      <c r="A63" s="11" t="inlineStr">
        <is>
          <t>P062</t>
        </is>
      </c>
      <c r="B63" s="11">
        <f>IFERROR(INDEX(Prospectos!$F:$F,MATCH(A63,Prospectos!$A:$A,0)),"")</f>
        <v/>
      </c>
      <c r="C63" s="11">
        <f>IFERROR(INDEX(Prospectos!$D:$D,MATCH(A63,Prospectos!$A:$A,0)),"")</f>
        <v/>
      </c>
      <c r="D63" s="11">
        <f>IFERROR(INDEX(Prospectos!$B:$B,MATCH(A63,Prospectos!$A:$A,0)),"")</f>
        <v/>
      </c>
      <c r="E63" s="11" t="n"/>
      <c r="F63" s="11" t="n"/>
      <c r="G63" s="11" t="n"/>
      <c r="H63" s="11" t="n"/>
      <c r="I63" s="11" t="n"/>
      <c r="J63" s="11" t="inlineStr">
        <is>
          <t>Por contactar</t>
        </is>
      </c>
      <c r="K63" s="16" t="n"/>
      <c r="L63" s="16" t="n"/>
      <c r="M63" s="11" t="n"/>
      <c r="N63" s="11" t="n"/>
      <c r="O63" s="16" t="n"/>
      <c r="P63" s="11">
        <f>IF(L63="","",TODAY()-L63)</f>
        <v/>
      </c>
      <c r="Q63" s="11" t="n"/>
      <c r="R63" s="17" t="n"/>
      <c r="S63" s="11" t="n"/>
      <c r="T63" s="13" t="inlineStr">
        <is>
          <t>✉️ Abrir correo</t>
        </is>
      </c>
      <c r="U63" s="13" t="inlineStr">
        <is>
          <t>↩️ Seguimiento</t>
        </is>
      </c>
      <c r="V63" s="13">
        <f>IF(A63="","",HYPERLINK("https://calendar.google.com/calendar/render?action=TEMPLATE&amp;text="&amp;"Racksa%3A%20"&amp;SUBSTITUTE(SUBSTITUTE(SUBSTITUTE(LEFT(B63,45),"&amp;","y")," ","%20"),"#","")&amp;"%20-%20seguimiento"&amp;"&amp;dates="&amp;YEAR(IF(O63="",TODAY()+3,O63))&amp;RIGHT("0"&amp;MONTH(IF(O63="",TODAY()+3,O63)),2)&amp;RIGHT("0"&amp;DAY(IF(O63="",TODAY()+3,O63)),2)&amp;"/"&amp;YEAR(IF(O63="",TODAY()+4,O63+1))&amp;RIGHT("0"&amp;MONTH(IF(O63="",TODAY()+4,O63+1)),2)&amp;RIGHT("0"&amp;DAY(IF(O63="",TODAY()+4,O63+1)),2),"📅 Agendar"))</f>
        <v/>
      </c>
    </row>
    <row r="64">
      <c r="A64" s="11" t="inlineStr">
        <is>
          <t>P063</t>
        </is>
      </c>
      <c r="B64" s="11">
        <f>IFERROR(INDEX(Prospectos!$F:$F,MATCH(A64,Prospectos!$A:$A,0)),"")</f>
        <v/>
      </c>
      <c r="C64" s="11">
        <f>IFERROR(INDEX(Prospectos!$D:$D,MATCH(A64,Prospectos!$A:$A,0)),"")</f>
        <v/>
      </c>
      <c r="D64" s="11">
        <f>IFERROR(INDEX(Prospectos!$B:$B,MATCH(A64,Prospectos!$A:$A,0)),"")</f>
        <v/>
      </c>
      <c r="E64" s="11" t="n"/>
      <c r="F64" s="11" t="n"/>
      <c r="G64" s="11" t="n"/>
      <c r="H64" s="11" t="n"/>
      <c r="I64" s="11" t="n"/>
      <c r="J64" s="11" t="inlineStr">
        <is>
          <t>Por contactar</t>
        </is>
      </c>
      <c r="K64" s="16" t="n"/>
      <c r="L64" s="16" t="n"/>
      <c r="M64" s="11" t="n"/>
      <c r="N64" s="11" t="n"/>
      <c r="O64" s="16" t="n"/>
      <c r="P64" s="11">
        <f>IF(L64="","",TODAY()-L64)</f>
        <v/>
      </c>
      <c r="Q64" s="11" t="n"/>
      <c r="R64" s="17" t="n"/>
      <c r="S64" s="11" t="n"/>
      <c r="T64" s="13" t="inlineStr">
        <is>
          <t>✉️ Abrir correo</t>
        </is>
      </c>
      <c r="U64" s="13" t="inlineStr">
        <is>
          <t>↩️ Seguimiento</t>
        </is>
      </c>
      <c r="V64" s="13">
        <f>IF(A64="","",HYPERLINK("https://calendar.google.com/calendar/render?action=TEMPLATE&amp;text="&amp;"Racksa%3A%20"&amp;SUBSTITUTE(SUBSTITUTE(SUBSTITUTE(LEFT(B64,45),"&amp;","y")," ","%20"),"#","")&amp;"%20-%20seguimiento"&amp;"&amp;dates="&amp;YEAR(IF(O64="",TODAY()+3,O64))&amp;RIGHT("0"&amp;MONTH(IF(O64="",TODAY()+3,O64)),2)&amp;RIGHT("0"&amp;DAY(IF(O64="",TODAY()+3,O64)),2)&amp;"/"&amp;YEAR(IF(O64="",TODAY()+4,O64+1))&amp;RIGHT("0"&amp;MONTH(IF(O64="",TODAY()+4,O64+1)),2)&amp;RIGHT("0"&amp;DAY(IF(O64="",TODAY()+4,O64+1)),2),"📅 Agendar"))</f>
        <v/>
      </c>
    </row>
    <row r="65">
      <c r="A65" s="11" t="inlineStr">
        <is>
          <t>P064</t>
        </is>
      </c>
      <c r="B65" s="11">
        <f>IFERROR(INDEX(Prospectos!$F:$F,MATCH(A65,Prospectos!$A:$A,0)),"")</f>
        <v/>
      </c>
      <c r="C65" s="11">
        <f>IFERROR(INDEX(Prospectos!$D:$D,MATCH(A65,Prospectos!$A:$A,0)),"")</f>
        <v/>
      </c>
      <c r="D65" s="11">
        <f>IFERROR(INDEX(Prospectos!$B:$B,MATCH(A65,Prospectos!$A:$A,0)),"")</f>
        <v/>
      </c>
      <c r="E65" s="11" t="n"/>
      <c r="F65" s="11" t="n"/>
      <c r="G65" s="11" t="n"/>
      <c r="H65" s="11" t="n"/>
      <c r="I65" s="11" t="n"/>
      <c r="J65" s="11" t="inlineStr">
        <is>
          <t>Por contactar</t>
        </is>
      </c>
      <c r="K65" s="16" t="n"/>
      <c r="L65" s="16" t="n"/>
      <c r="M65" s="11" t="n"/>
      <c r="N65" s="11" t="n"/>
      <c r="O65" s="16" t="n"/>
      <c r="P65" s="11">
        <f>IF(L65="","",TODAY()-L65)</f>
        <v/>
      </c>
      <c r="Q65" s="11" t="n"/>
      <c r="R65" s="17" t="n"/>
      <c r="S65" s="11" t="n"/>
      <c r="T65" s="13" t="inlineStr">
        <is>
          <t>✉️ Abrir correo</t>
        </is>
      </c>
      <c r="U65" s="13" t="inlineStr">
        <is>
          <t>↩️ Seguimiento</t>
        </is>
      </c>
      <c r="V65" s="13">
        <f>IF(A65="","",HYPERLINK("https://calendar.google.com/calendar/render?action=TEMPLATE&amp;text="&amp;"Racksa%3A%20"&amp;SUBSTITUTE(SUBSTITUTE(SUBSTITUTE(LEFT(B65,45),"&amp;","y")," ","%20"),"#","")&amp;"%20-%20seguimiento"&amp;"&amp;dates="&amp;YEAR(IF(O65="",TODAY()+3,O65))&amp;RIGHT("0"&amp;MONTH(IF(O65="",TODAY()+3,O65)),2)&amp;RIGHT("0"&amp;DAY(IF(O65="",TODAY()+3,O65)),2)&amp;"/"&amp;YEAR(IF(O65="",TODAY()+4,O65+1))&amp;RIGHT("0"&amp;MONTH(IF(O65="",TODAY()+4,O65+1)),2)&amp;RIGHT("0"&amp;DAY(IF(O65="",TODAY()+4,O65+1)),2),"📅 Agendar"))</f>
        <v/>
      </c>
    </row>
    <row r="66">
      <c r="A66" s="11" t="inlineStr">
        <is>
          <t>P065</t>
        </is>
      </c>
      <c r="B66" s="11">
        <f>IFERROR(INDEX(Prospectos!$F:$F,MATCH(A66,Prospectos!$A:$A,0)),"")</f>
        <v/>
      </c>
      <c r="C66" s="11">
        <f>IFERROR(INDEX(Prospectos!$D:$D,MATCH(A66,Prospectos!$A:$A,0)),"")</f>
        <v/>
      </c>
      <c r="D66" s="11">
        <f>IFERROR(INDEX(Prospectos!$B:$B,MATCH(A66,Prospectos!$A:$A,0)),"")</f>
        <v/>
      </c>
      <c r="E66" s="11" t="n"/>
      <c r="F66" s="11" t="n"/>
      <c r="G66" s="11" t="n"/>
      <c r="H66" s="11" t="n"/>
      <c r="I66" s="11" t="n"/>
      <c r="J66" s="11" t="inlineStr">
        <is>
          <t>Por contactar</t>
        </is>
      </c>
      <c r="K66" s="16" t="n"/>
      <c r="L66" s="16" t="n"/>
      <c r="M66" s="11" t="n"/>
      <c r="N66" s="11" t="n"/>
      <c r="O66" s="16" t="n"/>
      <c r="P66" s="11">
        <f>IF(L66="","",TODAY()-L66)</f>
        <v/>
      </c>
      <c r="Q66" s="11" t="n"/>
      <c r="R66" s="17" t="n"/>
      <c r="S66" s="11" t="n"/>
      <c r="T66" s="13" t="inlineStr">
        <is>
          <t>✉️ Abrir correo</t>
        </is>
      </c>
      <c r="U66" s="13" t="inlineStr">
        <is>
          <t>↩️ Seguimiento</t>
        </is>
      </c>
      <c r="V66" s="13">
        <f>IF(A66="","",HYPERLINK("https://calendar.google.com/calendar/render?action=TEMPLATE&amp;text="&amp;"Racksa%3A%20"&amp;SUBSTITUTE(SUBSTITUTE(SUBSTITUTE(LEFT(B66,45),"&amp;","y")," ","%20"),"#","")&amp;"%20-%20seguimiento"&amp;"&amp;dates="&amp;YEAR(IF(O66="",TODAY()+3,O66))&amp;RIGHT("0"&amp;MONTH(IF(O66="",TODAY()+3,O66)),2)&amp;RIGHT("0"&amp;DAY(IF(O66="",TODAY()+3,O66)),2)&amp;"/"&amp;YEAR(IF(O66="",TODAY()+4,O66+1))&amp;RIGHT("0"&amp;MONTH(IF(O66="",TODAY()+4,O66+1)),2)&amp;RIGHT("0"&amp;DAY(IF(O66="",TODAY()+4,O66+1)),2),"📅 Agendar"))</f>
        <v/>
      </c>
    </row>
    <row r="67">
      <c r="A67" s="11" t="inlineStr">
        <is>
          <t>P066</t>
        </is>
      </c>
      <c r="B67" s="11">
        <f>IFERROR(INDEX(Prospectos!$F:$F,MATCH(A67,Prospectos!$A:$A,0)),"")</f>
        <v/>
      </c>
      <c r="C67" s="11">
        <f>IFERROR(INDEX(Prospectos!$D:$D,MATCH(A67,Prospectos!$A:$A,0)),"")</f>
        <v/>
      </c>
      <c r="D67" s="11">
        <f>IFERROR(INDEX(Prospectos!$B:$B,MATCH(A67,Prospectos!$A:$A,0)),"")</f>
        <v/>
      </c>
      <c r="E67" s="11" t="n"/>
      <c r="F67" s="11" t="n"/>
      <c r="G67" s="11" t="n"/>
      <c r="H67" s="11" t="n"/>
      <c r="I67" s="11" t="n"/>
      <c r="J67" s="11" t="inlineStr">
        <is>
          <t>Por contactar</t>
        </is>
      </c>
      <c r="K67" s="16" t="n"/>
      <c r="L67" s="16" t="n"/>
      <c r="M67" s="11" t="n"/>
      <c r="N67" s="11" t="n"/>
      <c r="O67" s="16" t="n"/>
      <c r="P67" s="11">
        <f>IF(L67="","",TODAY()-L67)</f>
        <v/>
      </c>
      <c r="Q67" s="11" t="n"/>
      <c r="R67" s="17" t="n"/>
      <c r="S67" s="11" t="n"/>
      <c r="T67" s="13" t="inlineStr">
        <is>
          <t>✉️ Abrir correo</t>
        </is>
      </c>
      <c r="U67" s="13" t="inlineStr">
        <is>
          <t>↩️ Seguimiento</t>
        </is>
      </c>
      <c r="V67" s="13">
        <f>IF(A67="","",HYPERLINK("https://calendar.google.com/calendar/render?action=TEMPLATE&amp;text="&amp;"Racksa%3A%20"&amp;SUBSTITUTE(SUBSTITUTE(SUBSTITUTE(LEFT(B67,45),"&amp;","y")," ","%20"),"#","")&amp;"%20-%20seguimiento"&amp;"&amp;dates="&amp;YEAR(IF(O67="",TODAY()+3,O67))&amp;RIGHT("0"&amp;MONTH(IF(O67="",TODAY()+3,O67)),2)&amp;RIGHT("0"&amp;DAY(IF(O67="",TODAY()+3,O67)),2)&amp;"/"&amp;YEAR(IF(O67="",TODAY()+4,O67+1))&amp;RIGHT("0"&amp;MONTH(IF(O67="",TODAY()+4,O67+1)),2)&amp;RIGHT("0"&amp;DAY(IF(O67="",TODAY()+4,O67+1)),2),"📅 Agendar"))</f>
        <v/>
      </c>
    </row>
    <row r="68">
      <c r="A68" s="11" t="inlineStr">
        <is>
          <t>P067</t>
        </is>
      </c>
      <c r="B68" s="11">
        <f>IFERROR(INDEX(Prospectos!$F:$F,MATCH(A68,Prospectos!$A:$A,0)),"")</f>
        <v/>
      </c>
      <c r="C68" s="11">
        <f>IFERROR(INDEX(Prospectos!$D:$D,MATCH(A68,Prospectos!$A:$A,0)),"")</f>
        <v/>
      </c>
      <c r="D68" s="11">
        <f>IFERROR(INDEX(Prospectos!$B:$B,MATCH(A68,Prospectos!$A:$A,0)),"")</f>
        <v/>
      </c>
      <c r="E68" s="11" t="n"/>
      <c r="F68" s="11" t="n"/>
      <c r="G68" s="11" t="n"/>
      <c r="H68" s="11" t="n"/>
      <c r="I68" s="11" t="n"/>
      <c r="J68" s="11" t="inlineStr">
        <is>
          <t>Por contactar</t>
        </is>
      </c>
      <c r="K68" s="16" t="n"/>
      <c r="L68" s="16" t="n"/>
      <c r="M68" s="11" t="n"/>
      <c r="N68" s="11" t="n"/>
      <c r="O68" s="16" t="n"/>
      <c r="P68" s="11">
        <f>IF(L68="","",TODAY()-L68)</f>
        <v/>
      </c>
      <c r="Q68" s="11" t="n"/>
      <c r="R68" s="17" t="n"/>
      <c r="S68" s="11" t="n"/>
      <c r="T68" s="13" t="inlineStr">
        <is>
          <t>✉️ Abrir correo</t>
        </is>
      </c>
      <c r="U68" s="13" t="inlineStr">
        <is>
          <t>↩️ Seguimiento</t>
        </is>
      </c>
      <c r="V68" s="13">
        <f>IF(A68="","",HYPERLINK("https://calendar.google.com/calendar/render?action=TEMPLATE&amp;text="&amp;"Racksa%3A%20"&amp;SUBSTITUTE(SUBSTITUTE(SUBSTITUTE(LEFT(B68,45),"&amp;","y")," ","%20"),"#","")&amp;"%20-%20seguimiento"&amp;"&amp;dates="&amp;YEAR(IF(O68="",TODAY()+3,O68))&amp;RIGHT("0"&amp;MONTH(IF(O68="",TODAY()+3,O68)),2)&amp;RIGHT("0"&amp;DAY(IF(O68="",TODAY()+3,O68)),2)&amp;"/"&amp;YEAR(IF(O68="",TODAY()+4,O68+1))&amp;RIGHT("0"&amp;MONTH(IF(O68="",TODAY()+4,O68+1)),2)&amp;RIGHT("0"&amp;DAY(IF(O68="",TODAY()+4,O68+1)),2),"📅 Agendar"))</f>
        <v/>
      </c>
    </row>
    <row r="69">
      <c r="A69" s="11" t="inlineStr">
        <is>
          <t>P068</t>
        </is>
      </c>
      <c r="B69" s="11">
        <f>IFERROR(INDEX(Prospectos!$F:$F,MATCH(A69,Prospectos!$A:$A,0)),"")</f>
        <v/>
      </c>
      <c r="C69" s="11">
        <f>IFERROR(INDEX(Prospectos!$D:$D,MATCH(A69,Prospectos!$A:$A,0)),"")</f>
        <v/>
      </c>
      <c r="D69" s="11">
        <f>IFERROR(INDEX(Prospectos!$B:$B,MATCH(A69,Prospectos!$A:$A,0)),"")</f>
        <v/>
      </c>
      <c r="E69" s="11" t="n"/>
      <c r="F69" s="11" t="n"/>
      <c r="G69" s="11" t="n"/>
      <c r="H69" s="11" t="n"/>
      <c r="I69" s="11" t="n"/>
      <c r="J69" s="11" t="inlineStr">
        <is>
          <t>Por contactar</t>
        </is>
      </c>
      <c r="K69" s="16" t="n"/>
      <c r="L69" s="16" t="n"/>
      <c r="M69" s="11" t="n"/>
      <c r="N69" s="11" t="n"/>
      <c r="O69" s="16" t="n"/>
      <c r="P69" s="11">
        <f>IF(L69="","",TODAY()-L69)</f>
        <v/>
      </c>
      <c r="Q69" s="11" t="n"/>
      <c r="R69" s="17" t="n"/>
      <c r="S69" s="11" t="n"/>
      <c r="T69" s="13" t="inlineStr">
        <is>
          <t>✉️ Abrir correo</t>
        </is>
      </c>
      <c r="U69" s="13" t="inlineStr">
        <is>
          <t>↩️ Seguimiento</t>
        </is>
      </c>
      <c r="V69" s="13">
        <f>IF(A69="","",HYPERLINK("https://calendar.google.com/calendar/render?action=TEMPLATE&amp;text="&amp;"Racksa%3A%20"&amp;SUBSTITUTE(SUBSTITUTE(SUBSTITUTE(LEFT(B69,45),"&amp;","y")," ","%20"),"#","")&amp;"%20-%20seguimiento"&amp;"&amp;dates="&amp;YEAR(IF(O69="",TODAY()+3,O69))&amp;RIGHT("0"&amp;MONTH(IF(O69="",TODAY()+3,O69)),2)&amp;RIGHT("0"&amp;DAY(IF(O69="",TODAY()+3,O69)),2)&amp;"/"&amp;YEAR(IF(O69="",TODAY()+4,O69+1))&amp;RIGHT("0"&amp;MONTH(IF(O69="",TODAY()+4,O69+1)),2)&amp;RIGHT("0"&amp;DAY(IF(O69="",TODAY()+4,O69+1)),2),"📅 Agendar"))</f>
        <v/>
      </c>
    </row>
    <row r="70">
      <c r="A70" s="11" t="inlineStr">
        <is>
          <t>P069</t>
        </is>
      </c>
      <c r="B70" s="11">
        <f>IFERROR(INDEX(Prospectos!$F:$F,MATCH(A70,Prospectos!$A:$A,0)),"")</f>
        <v/>
      </c>
      <c r="C70" s="11">
        <f>IFERROR(INDEX(Prospectos!$D:$D,MATCH(A70,Prospectos!$A:$A,0)),"")</f>
        <v/>
      </c>
      <c r="D70" s="11">
        <f>IFERROR(INDEX(Prospectos!$B:$B,MATCH(A70,Prospectos!$A:$A,0)),"")</f>
        <v/>
      </c>
      <c r="E70" s="11" t="n"/>
      <c r="F70" s="11" t="n"/>
      <c r="G70" s="11" t="n"/>
      <c r="H70" s="11" t="n"/>
      <c r="I70" s="11" t="n"/>
      <c r="J70" s="11" t="inlineStr">
        <is>
          <t>Por contactar</t>
        </is>
      </c>
      <c r="K70" s="16" t="n"/>
      <c r="L70" s="16" t="n"/>
      <c r="M70" s="11" t="n"/>
      <c r="N70" s="11" t="n"/>
      <c r="O70" s="16" t="n"/>
      <c r="P70" s="11">
        <f>IF(L70="","",TODAY()-L70)</f>
        <v/>
      </c>
      <c r="Q70" s="11" t="n"/>
      <c r="R70" s="17" t="n"/>
      <c r="S70" s="11" t="n"/>
      <c r="T70" s="13" t="inlineStr">
        <is>
          <t>✉️ Abrir correo</t>
        </is>
      </c>
      <c r="U70" s="13" t="inlineStr">
        <is>
          <t>↩️ Seguimiento</t>
        </is>
      </c>
      <c r="V70" s="13">
        <f>IF(A70="","",HYPERLINK("https://calendar.google.com/calendar/render?action=TEMPLATE&amp;text="&amp;"Racksa%3A%20"&amp;SUBSTITUTE(SUBSTITUTE(SUBSTITUTE(LEFT(B70,45),"&amp;","y")," ","%20"),"#","")&amp;"%20-%20seguimiento"&amp;"&amp;dates="&amp;YEAR(IF(O70="",TODAY()+3,O70))&amp;RIGHT("0"&amp;MONTH(IF(O70="",TODAY()+3,O70)),2)&amp;RIGHT("0"&amp;DAY(IF(O70="",TODAY()+3,O70)),2)&amp;"/"&amp;YEAR(IF(O70="",TODAY()+4,O70+1))&amp;RIGHT("0"&amp;MONTH(IF(O70="",TODAY()+4,O70+1)),2)&amp;RIGHT("0"&amp;DAY(IF(O70="",TODAY()+4,O70+1)),2),"📅 Agendar"))</f>
        <v/>
      </c>
    </row>
    <row r="71">
      <c r="A71" s="11" t="inlineStr">
        <is>
          <t>P070</t>
        </is>
      </c>
      <c r="B71" s="11">
        <f>IFERROR(INDEX(Prospectos!$F:$F,MATCH(A71,Prospectos!$A:$A,0)),"")</f>
        <v/>
      </c>
      <c r="C71" s="11">
        <f>IFERROR(INDEX(Prospectos!$D:$D,MATCH(A71,Prospectos!$A:$A,0)),"")</f>
        <v/>
      </c>
      <c r="D71" s="11">
        <f>IFERROR(INDEX(Prospectos!$B:$B,MATCH(A71,Prospectos!$A:$A,0)),"")</f>
        <v/>
      </c>
      <c r="E71" s="11" t="n"/>
      <c r="F71" s="11" t="n"/>
      <c r="G71" s="11" t="n"/>
      <c r="H71" s="11" t="n"/>
      <c r="I71" s="11" t="n"/>
      <c r="J71" s="11" t="inlineStr">
        <is>
          <t>Por contactar</t>
        </is>
      </c>
      <c r="K71" s="16" t="n"/>
      <c r="L71" s="16" t="n"/>
      <c r="M71" s="11" t="n"/>
      <c r="N71" s="11" t="n"/>
      <c r="O71" s="16" t="n"/>
      <c r="P71" s="11">
        <f>IF(L71="","",TODAY()-L71)</f>
        <v/>
      </c>
      <c r="Q71" s="11" t="n"/>
      <c r="R71" s="17" t="n"/>
      <c r="S71" s="11" t="n"/>
      <c r="T71" s="13" t="inlineStr">
        <is>
          <t>✉️ Abrir correo</t>
        </is>
      </c>
      <c r="U71" s="13" t="inlineStr">
        <is>
          <t>↩️ Seguimiento</t>
        </is>
      </c>
      <c r="V71" s="13">
        <f>IF(A71="","",HYPERLINK("https://calendar.google.com/calendar/render?action=TEMPLATE&amp;text="&amp;"Racksa%3A%20"&amp;SUBSTITUTE(SUBSTITUTE(SUBSTITUTE(LEFT(B71,45),"&amp;","y")," ","%20"),"#","")&amp;"%20-%20seguimiento"&amp;"&amp;dates="&amp;YEAR(IF(O71="",TODAY()+3,O71))&amp;RIGHT("0"&amp;MONTH(IF(O71="",TODAY()+3,O71)),2)&amp;RIGHT("0"&amp;DAY(IF(O71="",TODAY()+3,O71)),2)&amp;"/"&amp;YEAR(IF(O71="",TODAY()+4,O71+1))&amp;RIGHT("0"&amp;MONTH(IF(O71="",TODAY()+4,O71+1)),2)&amp;RIGHT("0"&amp;DAY(IF(O71="",TODAY()+4,O71+1)),2),"📅 Agendar"))</f>
        <v/>
      </c>
    </row>
    <row r="72">
      <c r="A72" s="11" t="inlineStr">
        <is>
          <t>P071</t>
        </is>
      </c>
      <c r="B72" s="11">
        <f>IFERROR(INDEX(Prospectos!$F:$F,MATCH(A72,Prospectos!$A:$A,0)),"")</f>
        <v/>
      </c>
      <c r="C72" s="11">
        <f>IFERROR(INDEX(Prospectos!$D:$D,MATCH(A72,Prospectos!$A:$A,0)),"")</f>
        <v/>
      </c>
      <c r="D72" s="11">
        <f>IFERROR(INDEX(Prospectos!$B:$B,MATCH(A72,Prospectos!$A:$A,0)),"")</f>
        <v/>
      </c>
      <c r="E72" s="11" t="n"/>
      <c r="F72" s="11" t="n"/>
      <c r="G72" s="11" t="n"/>
      <c r="H72" s="11" t="n"/>
      <c r="I72" s="11" t="n"/>
      <c r="J72" s="11" t="inlineStr">
        <is>
          <t>Por contactar</t>
        </is>
      </c>
      <c r="K72" s="16" t="n"/>
      <c r="L72" s="16" t="n"/>
      <c r="M72" s="11" t="n"/>
      <c r="N72" s="11" t="n"/>
      <c r="O72" s="16" t="n"/>
      <c r="P72" s="11">
        <f>IF(L72="","",TODAY()-L72)</f>
        <v/>
      </c>
      <c r="Q72" s="11" t="n"/>
      <c r="R72" s="17" t="n"/>
      <c r="S72" s="11" t="n"/>
      <c r="T72" s="13" t="inlineStr">
        <is>
          <t>✉️ Abrir correo</t>
        </is>
      </c>
      <c r="U72" s="13" t="inlineStr">
        <is>
          <t>↩️ Seguimiento</t>
        </is>
      </c>
      <c r="V72" s="13">
        <f>IF(A72="","",HYPERLINK("https://calendar.google.com/calendar/render?action=TEMPLATE&amp;text="&amp;"Racksa%3A%20"&amp;SUBSTITUTE(SUBSTITUTE(SUBSTITUTE(LEFT(B72,45),"&amp;","y")," ","%20"),"#","")&amp;"%20-%20seguimiento"&amp;"&amp;dates="&amp;YEAR(IF(O72="",TODAY()+3,O72))&amp;RIGHT("0"&amp;MONTH(IF(O72="",TODAY()+3,O72)),2)&amp;RIGHT("0"&amp;DAY(IF(O72="",TODAY()+3,O72)),2)&amp;"/"&amp;YEAR(IF(O72="",TODAY()+4,O72+1))&amp;RIGHT("0"&amp;MONTH(IF(O72="",TODAY()+4,O72+1)),2)&amp;RIGHT("0"&amp;DAY(IF(O72="",TODAY()+4,O72+1)),2),"📅 Agendar"))</f>
        <v/>
      </c>
    </row>
    <row r="73">
      <c r="A73" s="11" t="inlineStr">
        <is>
          <t>P072</t>
        </is>
      </c>
      <c r="B73" s="11">
        <f>IFERROR(INDEX(Prospectos!$F:$F,MATCH(A73,Prospectos!$A:$A,0)),"")</f>
        <v/>
      </c>
      <c r="C73" s="11">
        <f>IFERROR(INDEX(Prospectos!$D:$D,MATCH(A73,Prospectos!$A:$A,0)),"")</f>
        <v/>
      </c>
      <c r="D73" s="11">
        <f>IFERROR(INDEX(Prospectos!$B:$B,MATCH(A73,Prospectos!$A:$A,0)),"")</f>
        <v/>
      </c>
      <c r="E73" s="11" t="n"/>
      <c r="F73" s="11" t="n"/>
      <c r="G73" s="11" t="n"/>
      <c r="H73" s="11" t="n"/>
      <c r="I73" s="11" t="n"/>
      <c r="J73" s="11" t="inlineStr">
        <is>
          <t>Por contactar</t>
        </is>
      </c>
      <c r="K73" s="16" t="n"/>
      <c r="L73" s="16" t="n"/>
      <c r="M73" s="11" t="n"/>
      <c r="N73" s="11" t="n"/>
      <c r="O73" s="16" t="n"/>
      <c r="P73" s="11">
        <f>IF(L73="","",TODAY()-L73)</f>
        <v/>
      </c>
      <c r="Q73" s="11" t="n"/>
      <c r="R73" s="17" t="n"/>
      <c r="S73" s="11" t="n"/>
      <c r="T73" s="13" t="inlineStr">
        <is>
          <t>✉️ Abrir correo</t>
        </is>
      </c>
      <c r="U73" s="13" t="inlineStr">
        <is>
          <t>↩️ Seguimiento</t>
        </is>
      </c>
      <c r="V73" s="13">
        <f>IF(A73="","",HYPERLINK("https://calendar.google.com/calendar/render?action=TEMPLATE&amp;text="&amp;"Racksa%3A%20"&amp;SUBSTITUTE(SUBSTITUTE(SUBSTITUTE(LEFT(B73,45),"&amp;","y")," ","%20"),"#","")&amp;"%20-%20seguimiento"&amp;"&amp;dates="&amp;YEAR(IF(O73="",TODAY()+3,O73))&amp;RIGHT("0"&amp;MONTH(IF(O73="",TODAY()+3,O73)),2)&amp;RIGHT("0"&amp;DAY(IF(O73="",TODAY()+3,O73)),2)&amp;"/"&amp;YEAR(IF(O73="",TODAY()+4,O73+1))&amp;RIGHT("0"&amp;MONTH(IF(O73="",TODAY()+4,O73+1)),2)&amp;RIGHT("0"&amp;DAY(IF(O73="",TODAY()+4,O73+1)),2),"📅 Agendar"))</f>
        <v/>
      </c>
    </row>
    <row r="74">
      <c r="A74" s="11" t="inlineStr">
        <is>
          <t>P073</t>
        </is>
      </c>
      <c r="B74" s="11">
        <f>IFERROR(INDEX(Prospectos!$F:$F,MATCH(A74,Prospectos!$A:$A,0)),"")</f>
        <v/>
      </c>
      <c r="C74" s="11">
        <f>IFERROR(INDEX(Prospectos!$D:$D,MATCH(A74,Prospectos!$A:$A,0)),"")</f>
        <v/>
      </c>
      <c r="D74" s="11">
        <f>IFERROR(INDEX(Prospectos!$B:$B,MATCH(A74,Prospectos!$A:$A,0)),"")</f>
        <v/>
      </c>
      <c r="E74" s="11" t="n"/>
      <c r="F74" s="11" t="n"/>
      <c r="G74" s="11" t="n"/>
      <c r="H74" s="11" t="n"/>
      <c r="I74" s="11" t="n"/>
      <c r="J74" s="11" t="inlineStr">
        <is>
          <t>Por contactar</t>
        </is>
      </c>
      <c r="K74" s="16" t="n"/>
      <c r="L74" s="16" t="n"/>
      <c r="M74" s="11" t="n"/>
      <c r="N74" s="11" t="n"/>
      <c r="O74" s="16" t="n"/>
      <c r="P74" s="11">
        <f>IF(L74="","",TODAY()-L74)</f>
        <v/>
      </c>
      <c r="Q74" s="11" t="n"/>
      <c r="R74" s="17" t="n"/>
      <c r="S74" s="11" t="n"/>
      <c r="T74" s="13" t="inlineStr">
        <is>
          <t>✉️ Abrir correo</t>
        </is>
      </c>
      <c r="U74" s="13" t="inlineStr">
        <is>
          <t>↩️ Seguimiento</t>
        </is>
      </c>
      <c r="V74" s="13">
        <f>IF(A74="","",HYPERLINK("https://calendar.google.com/calendar/render?action=TEMPLATE&amp;text="&amp;"Racksa%3A%20"&amp;SUBSTITUTE(SUBSTITUTE(SUBSTITUTE(LEFT(B74,45),"&amp;","y")," ","%20"),"#","")&amp;"%20-%20seguimiento"&amp;"&amp;dates="&amp;YEAR(IF(O74="",TODAY()+3,O74))&amp;RIGHT("0"&amp;MONTH(IF(O74="",TODAY()+3,O74)),2)&amp;RIGHT("0"&amp;DAY(IF(O74="",TODAY()+3,O74)),2)&amp;"/"&amp;YEAR(IF(O74="",TODAY()+4,O74+1))&amp;RIGHT("0"&amp;MONTH(IF(O74="",TODAY()+4,O74+1)),2)&amp;RIGHT("0"&amp;DAY(IF(O74="",TODAY()+4,O74+1)),2),"📅 Agendar"))</f>
        <v/>
      </c>
    </row>
    <row r="75">
      <c r="A75" s="11" t="inlineStr">
        <is>
          <t>P074</t>
        </is>
      </c>
      <c r="B75" s="11">
        <f>IFERROR(INDEX(Prospectos!$F:$F,MATCH(A75,Prospectos!$A:$A,0)),"")</f>
        <v/>
      </c>
      <c r="C75" s="11">
        <f>IFERROR(INDEX(Prospectos!$D:$D,MATCH(A75,Prospectos!$A:$A,0)),"")</f>
        <v/>
      </c>
      <c r="D75" s="11">
        <f>IFERROR(INDEX(Prospectos!$B:$B,MATCH(A75,Prospectos!$A:$A,0)),"")</f>
        <v/>
      </c>
      <c r="E75" s="11" t="n"/>
      <c r="F75" s="11" t="n"/>
      <c r="G75" s="11" t="n"/>
      <c r="H75" s="11" t="n"/>
      <c r="I75" s="11" t="n"/>
      <c r="J75" s="11" t="inlineStr">
        <is>
          <t>Por contactar</t>
        </is>
      </c>
      <c r="K75" s="16" t="n"/>
      <c r="L75" s="16" t="n"/>
      <c r="M75" s="11" t="n"/>
      <c r="N75" s="11" t="n"/>
      <c r="O75" s="16" t="n"/>
      <c r="P75" s="11">
        <f>IF(L75="","",TODAY()-L75)</f>
        <v/>
      </c>
      <c r="Q75" s="11" t="n"/>
      <c r="R75" s="17" t="n"/>
      <c r="S75" s="11" t="n"/>
      <c r="T75" s="13" t="inlineStr">
        <is>
          <t>✉️ Abrir correo</t>
        </is>
      </c>
      <c r="U75" s="13" t="inlineStr">
        <is>
          <t>↩️ Seguimiento</t>
        </is>
      </c>
      <c r="V75" s="13">
        <f>IF(A75="","",HYPERLINK("https://calendar.google.com/calendar/render?action=TEMPLATE&amp;text="&amp;"Racksa%3A%20"&amp;SUBSTITUTE(SUBSTITUTE(SUBSTITUTE(LEFT(B75,45),"&amp;","y")," ","%20"),"#","")&amp;"%20-%20seguimiento"&amp;"&amp;dates="&amp;YEAR(IF(O75="",TODAY()+3,O75))&amp;RIGHT("0"&amp;MONTH(IF(O75="",TODAY()+3,O75)),2)&amp;RIGHT("0"&amp;DAY(IF(O75="",TODAY()+3,O75)),2)&amp;"/"&amp;YEAR(IF(O75="",TODAY()+4,O75+1))&amp;RIGHT("0"&amp;MONTH(IF(O75="",TODAY()+4,O75+1)),2)&amp;RIGHT("0"&amp;DAY(IF(O75="",TODAY()+4,O75+1)),2),"📅 Agendar"))</f>
        <v/>
      </c>
    </row>
    <row r="76">
      <c r="A76" s="11" t="inlineStr">
        <is>
          <t>P075</t>
        </is>
      </c>
      <c r="B76" s="11">
        <f>IFERROR(INDEX(Prospectos!$F:$F,MATCH(A76,Prospectos!$A:$A,0)),"")</f>
        <v/>
      </c>
      <c r="C76" s="11">
        <f>IFERROR(INDEX(Prospectos!$D:$D,MATCH(A76,Prospectos!$A:$A,0)),"")</f>
        <v/>
      </c>
      <c r="D76" s="11">
        <f>IFERROR(INDEX(Prospectos!$B:$B,MATCH(A76,Prospectos!$A:$A,0)),"")</f>
        <v/>
      </c>
      <c r="E76" s="11" t="n"/>
      <c r="F76" s="11" t="n"/>
      <c r="G76" s="11" t="n"/>
      <c r="H76" s="11" t="n"/>
      <c r="I76" s="11" t="n"/>
      <c r="J76" s="11" t="inlineStr">
        <is>
          <t>Por contactar</t>
        </is>
      </c>
      <c r="K76" s="16" t="n"/>
      <c r="L76" s="16" t="n"/>
      <c r="M76" s="11" t="n"/>
      <c r="N76" s="11" t="n"/>
      <c r="O76" s="16" t="n"/>
      <c r="P76" s="11">
        <f>IF(L76="","",TODAY()-L76)</f>
        <v/>
      </c>
      <c r="Q76" s="11" t="n"/>
      <c r="R76" s="17" t="n"/>
      <c r="S76" s="11" t="n"/>
      <c r="T76" s="13" t="inlineStr">
        <is>
          <t>✉️ Abrir correo</t>
        </is>
      </c>
      <c r="U76" s="13" t="inlineStr">
        <is>
          <t>↩️ Seguimiento</t>
        </is>
      </c>
      <c r="V76" s="13">
        <f>IF(A76="","",HYPERLINK("https://calendar.google.com/calendar/render?action=TEMPLATE&amp;text="&amp;"Racksa%3A%20"&amp;SUBSTITUTE(SUBSTITUTE(SUBSTITUTE(LEFT(B76,45),"&amp;","y")," ","%20"),"#","")&amp;"%20-%20seguimiento"&amp;"&amp;dates="&amp;YEAR(IF(O76="",TODAY()+3,O76))&amp;RIGHT("0"&amp;MONTH(IF(O76="",TODAY()+3,O76)),2)&amp;RIGHT("0"&amp;DAY(IF(O76="",TODAY()+3,O76)),2)&amp;"/"&amp;YEAR(IF(O76="",TODAY()+4,O76+1))&amp;RIGHT("0"&amp;MONTH(IF(O76="",TODAY()+4,O76+1)),2)&amp;RIGHT("0"&amp;DAY(IF(O76="",TODAY()+4,O76+1)),2),"📅 Agendar"))</f>
        <v/>
      </c>
    </row>
    <row r="77">
      <c r="A77" s="11" t="inlineStr">
        <is>
          <t>P076</t>
        </is>
      </c>
      <c r="B77" s="11">
        <f>IFERROR(INDEX(Prospectos!$F:$F,MATCH(A77,Prospectos!$A:$A,0)),"")</f>
        <v/>
      </c>
      <c r="C77" s="11">
        <f>IFERROR(INDEX(Prospectos!$D:$D,MATCH(A77,Prospectos!$A:$A,0)),"")</f>
        <v/>
      </c>
      <c r="D77" s="11">
        <f>IFERROR(INDEX(Prospectos!$B:$B,MATCH(A77,Prospectos!$A:$A,0)),"")</f>
        <v/>
      </c>
      <c r="E77" s="11" t="n"/>
      <c r="F77" s="11" t="n"/>
      <c r="G77" s="11" t="n"/>
      <c r="H77" s="11" t="n"/>
      <c r="I77" s="11" t="n"/>
      <c r="J77" s="11" t="inlineStr">
        <is>
          <t>Por contactar</t>
        </is>
      </c>
      <c r="K77" s="16" t="n"/>
      <c r="L77" s="16" t="n"/>
      <c r="M77" s="11" t="n"/>
      <c r="N77" s="11" t="n"/>
      <c r="O77" s="16" t="n"/>
      <c r="P77" s="11">
        <f>IF(L77="","",TODAY()-L77)</f>
        <v/>
      </c>
      <c r="Q77" s="11" t="n"/>
      <c r="R77" s="17" t="n"/>
      <c r="S77" s="11" t="n"/>
      <c r="T77" s="13" t="inlineStr">
        <is>
          <t>✉️ Abrir correo</t>
        </is>
      </c>
      <c r="U77" s="13" t="inlineStr">
        <is>
          <t>↩️ Seguimiento</t>
        </is>
      </c>
      <c r="V77" s="13">
        <f>IF(A77="","",HYPERLINK("https://calendar.google.com/calendar/render?action=TEMPLATE&amp;text="&amp;"Racksa%3A%20"&amp;SUBSTITUTE(SUBSTITUTE(SUBSTITUTE(LEFT(B77,45),"&amp;","y")," ","%20"),"#","")&amp;"%20-%20seguimiento"&amp;"&amp;dates="&amp;YEAR(IF(O77="",TODAY()+3,O77))&amp;RIGHT("0"&amp;MONTH(IF(O77="",TODAY()+3,O77)),2)&amp;RIGHT("0"&amp;DAY(IF(O77="",TODAY()+3,O77)),2)&amp;"/"&amp;YEAR(IF(O77="",TODAY()+4,O77+1))&amp;RIGHT("0"&amp;MONTH(IF(O77="",TODAY()+4,O77+1)),2)&amp;RIGHT("0"&amp;DAY(IF(O77="",TODAY()+4,O77+1)),2),"📅 Agendar"))</f>
        <v/>
      </c>
    </row>
    <row r="78">
      <c r="A78" s="11" t="inlineStr">
        <is>
          <t>P077</t>
        </is>
      </c>
      <c r="B78" s="11">
        <f>IFERROR(INDEX(Prospectos!$F:$F,MATCH(A78,Prospectos!$A:$A,0)),"")</f>
        <v/>
      </c>
      <c r="C78" s="11">
        <f>IFERROR(INDEX(Prospectos!$D:$D,MATCH(A78,Prospectos!$A:$A,0)),"")</f>
        <v/>
      </c>
      <c r="D78" s="11">
        <f>IFERROR(INDEX(Prospectos!$B:$B,MATCH(A78,Prospectos!$A:$A,0)),"")</f>
        <v/>
      </c>
      <c r="E78" s="11" t="n"/>
      <c r="F78" s="11" t="n"/>
      <c r="G78" s="11" t="n"/>
      <c r="H78" s="11" t="n"/>
      <c r="I78" s="11" t="n"/>
      <c r="J78" s="11" t="inlineStr">
        <is>
          <t>Por contactar</t>
        </is>
      </c>
      <c r="K78" s="16" t="n"/>
      <c r="L78" s="16" t="n"/>
      <c r="M78" s="11" t="n"/>
      <c r="N78" s="11" t="n"/>
      <c r="O78" s="16" t="n"/>
      <c r="P78" s="11">
        <f>IF(L78="","",TODAY()-L78)</f>
        <v/>
      </c>
      <c r="Q78" s="11" t="n"/>
      <c r="R78" s="17" t="n"/>
      <c r="S78" s="11" t="n"/>
      <c r="T78" s="13" t="inlineStr">
        <is>
          <t>✉️ Abrir correo</t>
        </is>
      </c>
      <c r="U78" s="13" t="inlineStr">
        <is>
          <t>↩️ Seguimiento</t>
        </is>
      </c>
      <c r="V78" s="13">
        <f>IF(A78="","",HYPERLINK("https://calendar.google.com/calendar/render?action=TEMPLATE&amp;text="&amp;"Racksa%3A%20"&amp;SUBSTITUTE(SUBSTITUTE(SUBSTITUTE(LEFT(B78,45),"&amp;","y")," ","%20"),"#","")&amp;"%20-%20seguimiento"&amp;"&amp;dates="&amp;YEAR(IF(O78="",TODAY()+3,O78))&amp;RIGHT("0"&amp;MONTH(IF(O78="",TODAY()+3,O78)),2)&amp;RIGHT("0"&amp;DAY(IF(O78="",TODAY()+3,O78)),2)&amp;"/"&amp;YEAR(IF(O78="",TODAY()+4,O78+1))&amp;RIGHT("0"&amp;MONTH(IF(O78="",TODAY()+4,O78+1)),2)&amp;RIGHT("0"&amp;DAY(IF(O78="",TODAY()+4,O78+1)),2),"📅 Agendar"))</f>
        <v/>
      </c>
    </row>
    <row r="79">
      <c r="A79" s="11" t="inlineStr">
        <is>
          <t>P078</t>
        </is>
      </c>
      <c r="B79" s="11">
        <f>IFERROR(INDEX(Prospectos!$F:$F,MATCH(A79,Prospectos!$A:$A,0)),"")</f>
        <v/>
      </c>
      <c r="C79" s="11">
        <f>IFERROR(INDEX(Prospectos!$D:$D,MATCH(A79,Prospectos!$A:$A,0)),"")</f>
        <v/>
      </c>
      <c r="D79" s="11">
        <f>IFERROR(INDEX(Prospectos!$B:$B,MATCH(A79,Prospectos!$A:$A,0)),"")</f>
        <v/>
      </c>
      <c r="E79" s="11" t="n"/>
      <c r="F79" s="11" t="n"/>
      <c r="G79" s="11" t="n"/>
      <c r="H79" s="11" t="n"/>
      <c r="I79" s="11" t="n"/>
      <c r="J79" s="11" t="inlineStr">
        <is>
          <t>Por contactar</t>
        </is>
      </c>
      <c r="K79" s="16" t="n"/>
      <c r="L79" s="16" t="n"/>
      <c r="M79" s="11" t="n"/>
      <c r="N79" s="11" t="n"/>
      <c r="O79" s="16" t="n"/>
      <c r="P79" s="11">
        <f>IF(L79="","",TODAY()-L79)</f>
        <v/>
      </c>
      <c r="Q79" s="11" t="n"/>
      <c r="R79" s="17" t="n"/>
      <c r="S79" s="11" t="n"/>
      <c r="T79" s="13" t="inlineStr">
        <is>
          <t>✉️ Abrir correo</t>
        </is>
      </c>
      <c r="U79" s="13" t="inlineStr">
        <is>
          <t>↩️ Seguimiento</t>
        </is>
      </c>
      <c r="V79" s="13">
        <f>IF(A79="","",HYPERLINK("https://calendar.google.com/calendar/render?action=TEMPLATE&amp;text="&amp;"Racksa%3A%20"&amp;SUBSTITUTE(SUBSTITUTE(SUBSTITUTE(LEFT(B79,45),"&amp;","y")," ","%20"),"#","")&amp;"%20-%20seguimiento"&amp;"&amp;dates="&amp;YEAR(IF(O79="",TODAY()+3,O79))&amp;RIGHT("0"&amp;MONTH(IF(O79="",TODAY()+3,O79)),2)&amp;RIGHT("0"&amp;DAY(IF(O79="",TODAY()+3,O79)),2)&amp;"/"&amp;YEAR(IF(O79="",TODAY()+4,O79+1))&amp;RIGHT("0"&amp;MONTH(IF(O79="",TODAY()+4,O79+1)),2)&amp;RIGHT("0"&amp;DAY(IF(O79="",TODAY()+4,O79+1)),2),"📅 Agendar"))</f>
        <v/>
      </c>
    </row>
    <row r="80">
      <c r="A80" s="11" t="inlineStr">
        <is>
          <t>P079</t>
        </is>
      </c>
      <c r="B80" s="11">
        <f>IFERROR(INDEX(Prospectos!$F:$F,MATCH(A80,Prospectos!$A:$A,0)),"")</f>
        <v/>
      </c>
      <c r="C80" s="11">
        <f>IFERROR(INDEX(Prospectos!$D:$D,MATCH(A80,Prospectos!$A:$A,0)),"")</f>
        <v/>
      </c>
      <c r="D80" s="11">
        <f>IFERROR(INDEX(Prospectos!$B:$B,MATCH(A80,Prospectos!$A:$A,0)),"")</f>
        <v/>
      </c>
      <c r="E80" s="11" t="n"/>
      <c r="F80" s="11" t="n"/>
      <c r="G80" s="11" t="n"/>
      <c r="H80" s="11" t="n"/>
      <c r="I80" s="11" t="n"/>
      <c r="J80" s="11" t="inlineStr">
        <is>
          <t>Por contactar</t>
        </is>
      </c>
      <c r="K80" s="16" t="n"/>
      <c r="L80" s="16" t="n"/>
      <c r="M80" s="11" t="n"/>
      <c r="N80" s="11" t="n"/>
      <c r="O80" s="16" t="n"/>
      <c r="P80" s="11">
        <f>IF(L80="","",TODAY()-L80)</f>
        <v/>
      </c>
      <c r="Q80" s="11" t="n"/>
      <c r="R80" s="17" t="n"/>
      <c r="S80" s="11" t="n"/>
      <c r="T80" s="13" t="inlineStr">
        <is>
          <t>✉️ Abrir correo</t>
        </is>
      </c>
      <c r="U80" s="13" t="inlineStr">
        <is>
          <t>↩️ Seguimiento</t>
        </is>
      </c>
      <c r="V80" s="13">
        <f>IF(A80="","",HYPERLINK("https://calendar.google.com/calendar/render?action=TEMPLATE&amp;text="&amp;"Racksa%3A%20"&amp;SUBSTITUTE(SUBSTITUTE(SUBSTITUTE(LEFT(B80,45),"&amp;","y")," ","%20"),"#","")&amp;"%20-%20seguimiento"&amp;"&amp;dates="&amp;YEAR(IF(O80="",TODAY()+3,O80))&amp;RIGHT("0"&amp;MONTH(IF(O80="",TODAY()+3,O80)),2)&amp;RIGHT("0"&amp;DAY(IF(O80="",TODAY()+3,O80)),2)&amp;"/"&amp;YEAR(IF(O80="",TODAY()+4,O80+1))&amp;RIGHT("0"&amp;MONTH(IF(O80="",TODAY()+4,O80+1)),2)&amp;RIGHT("0"&amp;DAY(IF(O80="",TODAY()+4,O80+1)),2),"📅 Agendar"))</f>
        <v/>
      </c>
    </row>
    <row r="81">
      <c r="A81" s="11" t="inlineStr">
        <is>
          <t>P080</t>
        </is>
      </c>
      <c r="B81" s="11">
        <f>IFERROR(INDEX(Prospectos!$F:$F,MATCH(A81,Prospectos!$A:$A,0)),"")</f>
        <v/>
      </c>
      <c r="C81" s="11">
        <f>IFERROR(INDEX(Prospectos!$D:$D,MATCH(A81,Prospectos!$A:$A,0)),"")</f>
        <v/>
      </c>
      <c r="D81" s="11">
        <f>IFERROR(INDEX(Prospectos!$B:$B,MATCH(A81,Prospectos!$A:$A,0)),"")</f>
        <v/>
      </c>
      <c r="E81" s="11" t="n"/>
      <c r="F81" s="11" t="n"/>
      <c r="G81" s="11" t="n"/>
      <c r="H81" s="11" t="n"/>
      <c r="I81" s="11" t="n"/>
      <c r="J81" s="11" t="inlineStr">
        <is>
          <t>Por contactar</t>
        </is>
      </c>
      <c r="K81" s="16" t="n"/>
      <c r="L81" s="16" t="n"/>
      <c r="M81" s="11" t="n"/>
      <c r="N81" s="11" t="n"/>
      <c r="O81" s="16" t="n"/>
      <c r="P81" s="11">
        <f>IF(L81="","",TODAY()-L81)</f>
        <v/>
      </c>
      <c r="Q81" s="11" t="n"/>
      <c r="R81" s="17" t="n"/>
      <c r="S81" s="11" t="n"/>
      <c r="T81" s="13" t="inlineStr">
        <is>
          <t>✉️ Abrir correo</t>
        </is>
      </c>
      <c r="U81" s="13" t="inlineStr">
        <is>
          <t>↩️ Seguimiento</t>
        </is>
      </c>
      <c r="V81" s="13">
        <f>IF(A81="","",HYPERLINK("https://calendar.google.com/calendar/render?action=TEMPLATE&amp;text="&amp;"Racksa%3A%20"&amp;SUBSTITUTE(SUBSTITUTE(SUBSTITUTE(LEFT(B81,45),"&amp;","y")," ","%20"),"#","")&amp;"%20-%20seguimiento"&amp;"&amp;dates="&amp;YEAR(IF(O81="",TODAY()+3,O81))&amp;RIGHT("0"&amp;MONTH(IF(O81="",TODAY()+3,O81)),2)&amp;RIGHT("0"&amp;DAY(IF(O81="",TODAY()+3,O81)),2)&amp;"/"&amp;YEAR(IF(O81="",TODAY()+4,O81+1))&amp;RIGHT("0"&amp;MONTH(IF(O81="",TODAY()+4,O81+1)),2)&amp;RIGHT("0"&amp;DAY(IF(O81="",TODAY()+4,O81+1)),2),"📅 Agendar"))</f>
        <v/>
      </c>
    </row>
    <row r="82">
      <c r="A82" s="11" t="inlineStr">
        <is>
          <t>P081</t>
        </is>
      </c>
      <c r="B82" s="11">
        <f>IFERROR(INDEX(Prospectos!$F:$F,MATCH(A82,Prospectos!$A:$A,0)),"")</f>
        <v/>
      </c>
      <c r="C82" s="11">
        <f>IFERROR(INDEX(Prospectos!$D:$D,MATCH(A82,Prospectos!$A:$A,0)),"")</f>
        <v/>
      </c>
      <c r="D82" s="11">
        <f>IFERROR(INDEX(Prospectos!$B:$B,MATCH(A82,Prospectos!$A:$A,0)),"")</f>
        <v/>
      </c>
      <c r="E82" s="11" t="n"/>
      <c r="F82" s="11" t="n"/>
      <c r="G82" s="11" t="n"/>
      <c r="H82" s="11" t="n"/>
      <c r="I82" s="11" t="n"/>
      <c r="J82" s="11" t="inlineStr">
        <is>
          <t>Por contactar</t>
        </is>
      </c>
      <c r="K82" s="16" t="n"/>
      <c r="L82" s="16" t="n"/>
      <c r="M82" s="11" t="n"/>
      <c r="N82" s="11" t="n"/>
      <c r="O82" s="16" t="n"/>
      <c r="P82" s="11">
        <f>IF(L82="","",TODAY()-L82)</f>
        <v/>
      </c>
      <c r="Q82" s="11" t="n"/>
      <c r="R82" s="17" t="n"/>
      <c r="S82" s="11" t="n"/>
      <c r="T82" s="13" t="inlineStr">
        <is>
          <t>✉️ Abrir correo</t>
        </is>
      </c>
      <c r="U82" s="13" t="inlineStr">
        <is>
          <t>↩️ Seguimiento</t>
        </is>
      </c>
      <c r="V82" s="13">
        <f>IF(A82="","",HYPERLINK("https://calendar.google.com/calendar/render?action=TEMPLATE&amp;text="&amp;"Racksa%3A%20"&amp;SUBSTITUTE(SUBSTITUTE(SUBSTITUTE(LEFT(B82,45),"&amp;","y")," ","%20"),"#","")&amp;"%20-%20seguimiento"&amp;"&amp;dates="&amp;YEAR(IF(O82="",TODAY()+3,O82))&amp;RIGHT("0"&amp;MONTH(IF(O82="",TODAY()+3,O82)),2)&amp;RIGHT("0"&amp;DAY(IF(O82="",TODAY()+3,O82)),2)&amp;"/"&amp;YEAR(IF(O82="",TODAY()+4,O82+1))&amp;RIGHT("0"&amp;MONTH(IF(O82="",TODAY()+4,O82+1)),2)&amp;RIGHT("0"&amp;DAY(IF(O82="",TODAY()+4,O82+1)),2),"📅 Agendar"))</f>
        <v/>
      </c>
    </row>
    <row r="83">
      <c r="A83" s="11" t="inlineStr">
        <is>
          <t>P082</t>
        </is>
      </c>
      <c r="B83" s="11">
        <f>IFERROR(INDEX(Prospectos!$F:$F,MATCH(A83,Prospectos!$A:$A,0)),"")</f>
        <v/>
      </c>
      <c r="C83" s="11">
        <f>IFERROR(INDEX(Prospectos!$D:$D,MATCH(A83,Prospectos!$A:$A,0)),"")</f>
        <v/>
      </c>
      <c r="D83" s="11">
        <f>IFERROR(INDEX(Prospectos!$B:$B,MATCH(A83,Prospectos!$A:$A,0)),"")</f>
        <v/>
      </c>
      <c r="E83" s="11" t="n"/>
      <c r="F83" s="11" t="n"/>
      <c r="G83" s="11" t="n"/>
      <c r="H83" s="11" t="n"/>
      <c r="I83" s="11" t="n"/>
      <c r="J83" s="11" t="inlineStr">
        <is>
          <t>Por contactar</t>
        </is>
      </c>
      <c r="K83" s="16" t="n"/>
      <c r="L83" s="16" t="n"/>
      <c r="M83" s="11" t="n"/>
      <c r="N83" s="11" t="n"/>
      <c r="O83" s="16" t="n"/>
      <c r="P83" s="11">
        <f>IF(L83="","",TODAY()-L83)</f>
        <v/>
      </c>
      <c r="Q83" s="11" t="n"/>
      <c r="R83" s="17" t="n"/>
      <c r="S83" s="11" t="n"/>
      <c r="T83" s="13" t="inlineStr">
        <is>
          <t>✉️ Abrir correo</t>
        </is>
      </c>
      <c r="U83" s="13" t="inlineStr">
        <is>
          <t>↩️ Seguimiento</t>
        </is>
      </c>
      <c r="V83" s="13">
        <f>IF(A83="","",HYPERLINK("https://calendar.google.com/calendar/render?action=TEMPLATE&amp;text="&amp;"Racksa%3A%20"&amp;SUBSTITUTE(SUBSTITUTE(SUBSTITUTE(LEFT(B83,45),"&amp;","y")," ","%20"),"#","")&amp;"%20-%20seguimiento"&amp;"&amp;dates="&amp;YEAR(IF(O83="",TODAY()+3,O83))&amp;RIGHT("0"&amp;MONTH(IF(O83="",TODAY()+3,O83)),2)&amp;RIGHT("0"&amp;DAY(IF(O83="",TODAY()+3,O83)),2)&amp;"/"&amp;YEAR(IF(O83="",TODAY()+4,O83+1))&amp;RIGHT("0"&amp;MONTH(IF(O83="",TODAY()+4,O83+1)),2)&amp;RIGHT("0"&amp;DAY(IF(O83="",TODAY()+4,O83+1)),2),"📅 Agendar"))</f>
        <v/>
      </c>
    </row>
    <row r="84">
      <c r="A84" s="11" t="inlineStr">
        <is>
          <t>P083</t>
        </is>
      </c>
      <c r="B84" s="11">
        <f>IFERROR(INDEX(Prospectos!$F:$F,MATCH(A84,Prospectos!$A:$A,0)),"")</f>
        <v/>
      </c>
      <c r="C84" s="11">
        <f>IFERROR(INDEX(Prospectos!$D:$D,MATCH(A84,Prospectos!$A:$A,0)),"")</f>
        <v/>
      </c>
      <c r="D84" s="11">
        <f>IFERROR(INDEX(Prospectos!$B:$B,MATCH(A84,Prospectos!$A:$A,0)),"")</f>
        <v/>
      </c>
      <c r="E84" s="11" t="n"/>
      <c r="F84" s="11" t="n"/>
      <c r="G84" s="11" t="n"/>
      <c r="H84" s="11" t="n"/>
      <c r="I84" s="11" t="n"/>
      <c r="J84" s="11" t="inlineStr">
        <is>
          <t>Por contactar</t>
        </is>
      </c>
      <c r="K84" s="16" t="n"/>
      <c r="L84" s="16" t="n"/>
      <c r="M84" s="11" t="n"/>
      <c r="N84" s="11" t="n"/>
      <c r="O84" s="16" t="n"/>
      <c r="P84" s="11">
        <f>IF(L84="","",TODAY()-L84)</f>
        <v/>
      </c>
      <c r="Q84" s="11" t="n"/>
      <c r="R84" s="17" t="n"/>
      <c r="S84" s="11" t="n"/>
      <c r="T84" s="13" t="inlineStr">
        <is>
          <t>✉️ Abrir correo</t>
        </is>
      </c>
      <c r="U84" s="13" t="inlineStr">
        <is>
          <t>↩️ Seguimiento</t>
        </is>
      </c>
      <c r="V84" s="13">
        <f>IF(A84="","",HYPERLINK("https://calendar.google.com/calendar/render?action=TEMPLATE&amp;text="&amp;"Racksa%3A%20"&amp;SUBSTITUTE(SUBSTITUTE(SUBSTITUTE(LEFT(B84,45),"&amp;","y")," ","%20"),"#","")&amp;"%20-%20seguimiento"&amp;"&amp;dates="&amp;YEAR(IF(O84="",TODAY()+3,O84))&amp;RIGHT("0"&amp;MONTH(IF(O84="",TODAY()+3,O84)),2)&amp;RIGHT("0"&amp;DAY(IF(O84="",TODAY()+3,O84)),2)&amp;"/"&amp;YEAR(IF(O84="",TODAY()+4,O84+1))&amp;RIGHT("0"&amp;MONTH(IF(O84="",TODAY()+4,O84+1)),2)&amp;RIGHT("0"&amp;DAY(IF(O84="",TODAY()+4,O84+1)),2),"📅 Agendar"))</f>
        <v/>
      </c>
    </row>
    <row r="85">
      <c r="A85" s="11" t="inlineStr">
        <is>
          <t>P084</t>
        </is>
      </c>
      <c r="B85" s="11">
        <f>IFERROR(INDEX(Prospectos!$F:$F,MATCH(A85,Prospectos!$A:$A,0)),"")</f>
        <v/>
      </c>
      <c r="C85" s="11">
        <f>IFERROR(INDEX(Prospectos!$D:$D,MATCH(A85,Prospectos!$A:$A,0)),"")</f>
        <v/>
      </c>
      <c r="D85" s="11">
        <f>IFERROR(INDEX(Prospectos!$B:$B,MATCH(A85,Prospectos!$A:$A,0)),"")</f>
        <v/>
      </c>
      <c r="E85" s="11" t="n"/>
      <c r="F85" s="11" t="n"/>
      <c r="G85" s="11" t="n"/>
      <c r="H85" s="11" t="n"/>
      <c r="I85" s="11" t="n"/>
      <c r="J85" s="11" t="inlineStr">
        <is>
          <t>Por contactar</t>
        </is>
      </c>
      <c r="K85" s="16" t="n"/>
      <c r="L85" s="16" t="n"/>
      <c r="M85" s="11" t="n"/>
      <c r="N85" s="11" t="n"/>
      <c r="O85" s="16" t="n"/>
      <c r="P85" s="11">
        <f>IF(L85="","",TODAY()-L85)</f>
        <v/>
      </c>
      <c r="Q85" s="11" t="n"/>
      <c r="R85" s="17" t="n"/>
      <c r="S85" s="11" t="n"/>
      <c r="T85" s="13" t="inlineStr">
        <is>
          <t>✉️ Abrir correo</t>
        </is>
      </c>
      <c r="U85" s="13" t="inlineStr">
        <is>
          <t>↩️ Seguimiento</t>
        </is>
      </c>
      <c r="V85" s="13">
        <f>IF(A85="","",HYPERLINK("https://calendar.google.com/calendar/render?action=TEMPLATE&amp;text="&amp;"Racksa%3A%20"&amp;SUBSTITUTE(SUBSTITUTE(SUBSTITUTE(LEFT(B85,45),"&amp;","y")," ","%20"),"#","")&amp;"%20-%20seguimiento"&amp;"&amp;dates="&amp;YEAR(IF(O85="",TODAY()+3,O85))&amp;RIGHT("0"&amp;MONTH(IF(O85="",TODAY()+3,O85)),2)&amp;RIGHT("0"&amp;DAY(IF(O85="",TODAY()+3,O85)),2)&amp;"/"&amp;YEAR(IF(O85="",TODAY()+4,O85+1))&amp;RIGHT("0"&amp;MONTH(IF(O85="",TODAY()+4,O85+1)),2)&amp;RIGHT("0"&amp;DAY(IF(O85="",TODAY()+4,O85+1)),2),"📅 Agendar"))</f>
        <v/>
      </c>
    </row>
    <row r="86">
      <c r="A86" s="11" t="inlineStr">
        <is>
          <t>P085</t>
        </is>
      </c>
      <c r="B86" s="11">
        <f>IFERROR(INDEX(Prospectos!$F:$F,MATCH(A86,Prospectos!$A:$A,0)),"")</f>
        <v/>
      </c>
      <c r="C86" s="11">
        <f>IFERROR(INDEX(Prospectos!$D:$D,MATCH(A86,Prospectos!$A:$A,0)),"")</f>
        <v/>
      </c>
      <c r="D86" s="11">
        <f>IFERROR(INDEX(Prospectos!$B:$B,MATCH(A86,Prospectos!$A:$A,0)),"")</f>
        <v/>
      </c>
      <c r="E86" s="11" t="n"/>
      <c r="F86" s="11" t="n"/>
      <c r="G86" s="11" t="n"/>
      <c r="H86" s="11" t="n"/>
      <c r="I86" s="11" t="n"/>
      <c r="J86" s="11" t="inlineStr">
        <is>
          <t>Por contactar</t>
        </is>
      </c>
      <c r="K86" s="16" t="n"/>
      <c r="L86" s="16" t="n"/>
      <c r="M86" s="11" t="n"/>
      <c r="N86" s="11" t="n"/>
      <c r="O86" s="16" t="n"/>
      <c r="P86" s="11">
        <f>IF(L86="","",TODAY()-L86)</f>
        <v/>
      </c>
      <c r="Q86" s="11" t="n"/>
      <c r="R86" s="17" t="n"/>
      <c r="S86" s="11" t="n"/>
      <c r="T86" s="13" t="inlineStr">
        <is>
          <t>✉️ Abrir correo</t>
        </is>
      </c>
      <c r="U86" s="13" t="inlineStr">
        <is>
          <t>↩️ Seguimiento</t>
        </is>
      </c>
      <c r="V86" s="13">
        <f>IF(A86="","",HYPERLINK("https://calendar.google.com/calendar/render?action=TEMPLATE&amp;text="&amp;"Racksa%3A%20"&amp;SUBSTITUTE(SUBSTITUTE(SUBSTITUTE(LEFT(B86,45),"&amp;","y")," ","%20"),"#","")&amp;"%20-%20seguimiento"&amp;"&amp;dates="&amp;YEAR(IF(O86="",TODAY()+3,O86))&amp;RIGHT("0"&amp;MONTH(IF(O86="",TODAY()+3,O86)),2)&amp;RIGHT("0"&amp;DAY(IF(O86="",TODAY()+3,O86)),2)&amp;"/"&amp;YEAR(IF(O86="",TODAY()+4,O86+1))&amp;RIGHT("0"&amp;MONTH(IF(O86="",TODAY()+4,O86+1)),2)&amp;RIGHT("0"&amp;DAY(IF(O86="",TODAY()+4,O86+1)),2),"📅 Agendar"))</f>
        <v/>
      </c>
    </row>
    <row r="87">
      <c r="A87" s="11" t="inlineStr">
        <is>
          <t>P086</t>
        </is>
      </c>
      <c r="B87" s="11">
        <f>IFERROR(INDEX(Prospectos!$F:$F,MATCH(A87,Prospectos!$A:$A,0)),"")</f>
        <v/>
      </c>
      <c r="C87" s="11">
        <f>IFERROR(INDEX(Prospectos!$D:$D,MATCH(A87,Prospectos!$A:$A,0)),"")</f>
        <v/>
      </c>
      <c r="D87" s="11">
        <f>IFERROR(INDEX(Prospectos!$B:$B,MATCH(A87,Prospectos!$A:$A,0)),"")</f>
        <v/>
      </c>
      <c r="E87" s="11" t="n"/>
      <c r="F87" s="11" t="n"/>
      <c r="G87" s="11" t="n"/>
      <c r="H87" s="11" t="n"/>
      <c r="I87" s="11" t="n"/>
      <c r="J87" s="11" t="inlineStr">
        <is>
          <t>Por contactar</t>
        </is>
      </c>
      <c r="K87" s="16" t="n"/>
      <c r="L87" s="16" t="n"/>
      <c r="M87" s="11" t="n"/>
      <c r="N87" s="11" t="n"/>
      <c r="O87" s="16" t="n"/>
      <c r="P87" s="11">
        <f>IF(L87="","",TODAY()-L87)</f>
        <v/>
      </c>
      <c r="Q87" s="11" t="n"/>
      <c r="R87" s="17" t="n"/>
      <c r="S87" s="11" t="n"/>
      <c r="T87" s="13" t="inlineStr">
        <is>
          <t>✉️ Abrir correo</t>
        </is>
      </c>
      <c r="U87" s="13" t="inlineStr">
        <is>
          <t>↩️ Seguimiento</t>
        </is>
      </c>
      <c r="V87" s="13">
        <f>IF(A87="","",HYPERLINK("https://calendar.google.com/calendar/render?action=TEMPLATE&amp;text="&amp;"Racksa%3A%20"&amp;SUBSTITUTE(SUBSTITUTE(SUBSTITUTE(LEFT(B87,45),"&amp;","y")," ","%20"),"#","")&amp;"%20-%20seguimiento"&amp;"&amp;dates="&amp;YEAR(IF(O87="",TODAY()+3,O87))&amp;RIGHT("0"&amp;MONTH(IF(O87="",TODAY()+3,O87)),2)&amp;RIGHT("0"&amp;DAY(IF(O87="",TODAY()+3,O87)),2)&amp;"/"&amp;YEAR(IF(O87="",TODAY()+4,O87+1))&amp;RIGHT("0"&amp;MONTH(IF(O87="",TODAY()+4,O87+1)),2)&amp;RIGHT("0"&amp;DAY(IF(O87="",TODAY()+4,O87+1)),2),"📅 Agendar"))</f>
        <v/>
      </c>
    </row>
    <row r="88">
      <c r="A88" s="11" t="inlineStr">
        <is>
          <t>P087</t>
        </is>
      </c>
      <c r="B88" s="11">
        <f>IFERROR(INDEX(Prospectos!$F:$F,MATCH(A88,Prospectos!$A:$A,0)),"")</f>
        <v/>
      </c>
      <c r="C88" s="11">
        <f>IFERROR(INDEX(Prospectos!$D:$D,MATCH(A88,Prospectos!$A:$A,0)),"")</f>
        <v/>
      </c>
      <c r="D88" s="11">
        <f>IFERROR(INDEX(Prospectos!$B:$B,MATCH(A88,Prospectos!$A:$A,0)),"")</f>
        <v/>
      </c>
      <c r="E88" s="11" t="n"/>
      <c r="F88" s="11" t="n"/>
      <c r="G88" s="11" t="n"/>
      <c r="H88" s="11" t="n"/>
      <c r="I88" s="11" t="n"/>
      <c r="J88" s="11" t="inlineStr">
        <is>
          <t>Por contactar</t>
        </is>
      </c>
      <c r="K88" s="16" t="n"/>
      <c r="L88" s="16" t="n"/>
      <c r="M88" s="11" t="n"/>
      <c r="N88" s="11" t="n"/>
      <c r="O88" s="16" t="n"/>
      <c r="P88" s="11">
        <f>IF(L88="","",TODAY()-L88)</f>
        <v/>
      </c>
      <c r="Q88" s="11" t="n"/>
      <c r="R88" s="17" t="n"/>
      <c r="S88" s="11" t="n"/>
      <c r="T88" s="13" t="inlineStr">
        <is>
          <t>✉️ Abrir correo</t>
        </is>
      </c>
      <c r="U88" s="13" t="inlineStr">
        <is>
          <t>↩️ Seguimiento</t>
        </is>
      </c>
      <c r="V88" s="13">
        <f>IF(A88="","",HYPERLINK("https://calendar.google.com/calendar/render?action=TEMPLATE&amp;text="&amp;"Racksa%3A%20"&amp;SUBSTITUTE(SUBSTITUTE(SUBSTITUTE(LEFT(B88,45),"&amp;","y")," ","%20"),"#","")&amp;"%20-%20seguimiento"&amp;"&amp;dates="&amp;YEAR(IF(O88="",TODAY()+3,O88))&amp;RIGHT("0"&amp;MONTH(IF(O88="",TODAY()+3,O88)),2)&amp;RIGHT("0"&amp;DAY(IF(O88="",TODAY()+3,O88)),2)&amp;"/"&amp;YEAR(IF(O88="",TODAY()+4,O88+1))&amp;RIGHT("0"&amp;MONTH(IF(O88="",TODAY()+4,O88+1)),2)&amp;RIGHT("0"&amp;DAY(IF(O88="",TODAY()+4,O88+1)),2),"📅 Agendar"))</f>
        <v/>
      </c>
    </row>
    <row r="89">
      <c r="A89" s="11" t="inlineStr">
        <is>
          <t>P088</t>
        </is>
      </c>
      <c r="B89" s="11">
        <f>IFERROR(INDEX(Prospectos!$F:$F,MATCH(A89,Prospectos!$A:$A,0)),"")</f>
        <v/>
      </c>
      <c r="C89" s="11">
        <f>IFERROR(INDEX(Prospectos!$D:$D,MATCH(A89,Prospectos!$A:$A,0)),"")</f>
        <v/>
      </c>
      <c r="D89" s="11">
        <f>IFERROR(INDEX(Prospectos!$B:$B,MATCH(A89,Prospectos!$A:$A,0)),"")</f>
        <v/>
      </c>
      <c r="E89" s="11" t="n"/>
      <c r="F89" s="11" t="n"/>
      <c r="G89" s="11" t="n"/>
      <c r="H89" s="11" t="n"/>
      <c r="I89" s="11" t="n"/>
      <c r="J89" s="11" t="inlineStr">
        <is>
          <t>Por contactar</t>
        </is>
      </c>
      <c r="K89" s="16" t="n"/>
      <c r="L89" s="16" t="n"/>
      <c r="M89" s="11" t="n"/>
      <c r="N89" s="11" t="n"/>
      <c r="O89" s="16" t="n"/>
      <c r="P89" s="11">
        <f>IF(L89="","",TODAY()-L89)</f>
        <v/>
      </c>
      <c r="Q89" s="11" t="n"/>
      <c r="R89" s="17" t="n"/>
      <c r="S89" s="11" t="n"/>
      <c r="T89" s="13" t="inlineStr">
        <is>
          <t>✉️ Abrir correo</t>
        </is>
      </c>
      <c r="U89" s="13" t="inlineStr">
        <is>
          <t>↩️ Seguimiento</t>
        </is>
      </c>
      <c r="V89" s="13">
        <f>IF(A89="","",HYPERLINK("https://calendar.google.com/calendar/render?action=TEMPLATE&amp;text="&amp;"Racksa%3A%20"&amp;SUBSTITUTE(SUBSTITUTE(SUBSTITUTE(LEFT(B89,45),"&amp;","y")," ","%20"),"#","")&amp;"%20-%20seguimiento"&amp;"&amp;dates="&amp;YEAR(IF(O89="",TODAY()+3,O89))&amp;RIGHT("0"&amp;MONTH(IF(O89="",TODAY()+3,O89)),2)&amp;RIGHT("0"&amp;DAY(IF(O89="",TODAY()+3,O89)),2)&amp;"/"&amp;YEAR(IF(O89="",TODAY()+4,O89+1))&amp;RIGHT("0"&amp;MONTH(IF(O89="",TODAY()+4,O89+1)),2)&amp;RIGHT("0"&amp;DAY(IF(O89="",TODAY()+4,O89+1)),2),"📅 Agendar"))</f>
        <v/>
      </c>
    </row>
    <row r="90">
      <c r="A90" s="11" t="inlineStr">
        <is>
          <t>P089</t>
        </is>
      </c>
      <c r="B90" s="11">
        <f>IFERROR(INDEX(Prospectos!$F:$F,MATCH(A90,Prospectos!$A:$A,0)),"")</f>
        <v/>
      </c>
      <c r="C90" s="11">
        <f>IFERROR(INDEX(Prospectos!$D:$D,MATCH(A90,Prospectos!$A:$A,0)),"")</f>
        <v/>
      </c>
      <c r="D90" s="11">
        <f>IFERROR(INDEX(Prospectos!$B:$B,MATCH(A90,Prospectos!$A:$A,0)),"")</f>
        <v/>
      </c>
      <c r="E90" s="11" t="n"/>
      <c r="F90" s="11" t="n"/>
      <c r="G90" s="11" t="n"/>
      <c r="H90" s="11" t="n"/>
      <c r="I90" s="11" t="n"/>
      <c r="J90" s="11" t="inlineStr">
        <is>
          <t>Por contactar</t>
        </is>
      </c>
      <c r="K90" s="16" t="n"/>
      <c r="L90" s="16" t="n"/>
      <c r="M90" s="11" t="n"/>
      <c r="N90" s="11" t="n"/>
      <c r="O90" s="16" t="n"/>
      <c r="P90" s="11">
        <f>IF(L90="","",TODAY()-L90)</f>
        <v/>
      </c>
      <c r="Q90" s="11" t="n"/>
      <c r="R90" s="17" t="n"/>
      <c r="S90" s="11" t="n"/>
      <c r="T90" s="13" t="inlineStr">
        <is>
          <t>✉️ Abrir correo</t>
        </is>
      </c>
      <c r="U90" s="13" t="inlineStr">
        <is>
          <t>↩️ Seguimiento</t>
        </is>
      </c>
      <c r="V90" s="13">
        <f>IF(A90="","",HYPERLINK("https://calendar.google.com/calendar/render?action=TEMPLATE&amp;text="&amp;"Racksa%3A%20"&amp;SUBSTITUTE(SUBSTITUTE(SUBSTITUTE(LEFT(B90,45),"&amp;","y")," ","%20"),"#","")&amp;"%20-%20seguimiento"&amp;"&amp;dates="&amp;YEAR(IF(O90="",TODAY()+3,O90))&amp;RIGHT("0"&amp;MONTH(IF(O90="",TODAY()+3,O90)),2)&amp;RIGHT("0"&amp;DAY(IF(O90="",TODAY()+3,O90)),2)&amp;"/"&amp;YEAR(IF(O90="",TODAY()+4,O90+1))&amp;RIGHT("0"&amp;MONTH(IF(O90="",TODAY()+4,O90+1)),2)&amp;RIGHT("0"&amp;DAY(IF(O90="",TODAY()+4,O90+1)),2),"📅 Agendar"))</f>
        <v/>
      </c>
    </row>
    <row r="91">
      <c r="A91" s="11" t="inlineStr">
        <is>
          <t>P090</t>
        </is>
      </c>
      <c r="B91" s="11">
        <f>IFERROR(INDEX(Prospectos!$F:$F,MATCH(A91,Prospectos!$A:$A,0)),"")</f>
        <v/>
      </c>
      <c r="C91" s="11">
        <f>IFERROR(INDEX(Prospectos!$D:$D,MATCH(A91,Prospectos!$A:$A,0)),"")</f>
        <v/>
      </c>
      <c r="D91" s="11">
        <f>IFERROR(INDEX(Prospectos!$B:$B,MATCH(A91,Prospectos!$A:$A,0)),"")</f>
        <v/>
      </c>
      <c r="E91" s="11" t="n"/>
      <c r="F91" s="11" t="n"/>
      <c r="G91" s="11" t="n"/>
      <c r="H91" s="11" t="n"/>
      <c r="I91" s="11" t="n"/>
      <c r="J91" s="11" t="inlineStr">
        <is>
          <t>Por contactar</t>
        </is>
      </c>
      <c r="K91" s="16" t="n"/>
      <c r="L91" s="16" t="n"/>
      <c r="M91" s="11" t="n"/>
      <c r="N91" s="11" t="n"/>
      <c r="O91" s="16" t="n"/>
      <c r="P91" s="11">
        <f>IF(L91="","",TODAY()-L91)</f>
        <v/>
      </c>
      <c r="Q91" s="11" t="n"/>
      <c r="R91" s="17" t="n"/>
      <c r="S91" s="11" t="n"/>
      <c r="T91" s="13" t="inlineStr">
        <is>
          <t>✉️ Abrir correo</t>
        </is>
      </c>
      <c r="U91" s="13" t="inlineStr">
        <is>
          <t>↩️ Seguimiento</t>
        </is>
      </c>
      <c r="V91" s="13">
        <f>IF(A91="","",HYPERLINK("https://calendar.google.com/calendar/render?action=TEMPLATE&amp;text="&amp;"Racksa%3A%20"&amp;SUBSTITUTE(SUBSTITUTE(SUBSTITUTE(LEFT(B91,45),"&amp;","y")," ","%20"),"#","")&amp;"%20-%20seguimiento"&amp;"&amp;dates="&amp;YEAR(IF(O91="",TODAY()+3,O91))&amp;RIGHT("0"&amp;MONTH(IF(O91="",TODAY()+3,O91)),2)&amp;RIGHT("0"&amp;DAY(IF(O91="",TODAY()+3,O91)),2)&amp;"/"&amp;YEAR(IF(O91="",TODAY()+4,O91+1))&amp;RIGHT("0"&amp;MONTH(IF(O91="",TODAY()+4,O91+1)),2)&amp;RIGHT("0"&amp;DAY(IF(O91="",TODAY()+4,O91+1)),2),"📅 Agendar"))</f>
        <v/>
      </c>
    </row>
    <row r="92">
      <c r="A92" s="11" t="inlineStr">
        <is>
          <t>P091</t>
        </is>
      </c>
      <c r="B92" s="11">
        <f>IFERROR(INDEX(Prospectos!$F:$F,MATCH(A92,Prospectos!$A:$A,0)),"")</f>
        <v/>
      </c>
      <c r="C92" s="11">
        <f>IFERROR(INDEX(Prospectos!$D:$D,MATCH(A92,Prospectos!$A:$A,0)),"")</f>
        <v/>
      </c>
      <c r="D92" s="11">
        <f>IFERROR(INDEX(Prospectos!$B:$B,MATCH(A92,Prospectos!$A:$A,0)),"")</f>
        <v/>
      </c>
      <c r="E92" s="11" t="n"/>
      <c r="F92" s="11" t="n"/>
      <c r="G92" s="11" t="n"/>
      <c r="H92" s="11" t="n"/>
      <c r="I92" s="11" t="n"/>
      <c r="J92" s="11" t="inlineStr">
        <is>
          <t>Por contactar</t>
        </is>
      </c>
      <c r="K92" s="16" t="n"/>
      <c r="L92" s="16" t="n"/>
      <c r="M92" s="11" t="n"/>
      <c r="N92" s="11" t="n"/>
      <c r="O92" s="16" t="n"/>
      <c r="P92" s="11">
        <f>IF(L92="","",TODAY()-L92)</f>
        <v/>
      </c>
      <c r="Q92" s="11" t="n"/>
      <c r="R92" s="17" t="n"/>
      <c r="S92" s="11" t="n"/>
      <c r="T92" s="13" t="inlineStr">
        <is>
          <t>✉️ Abrir correo</t>
        </is>
      </c>
      <c r="U92" s="13" t="inlineStr">
        <is>
          <t>↩️ Seguimiento</t>
        </is>
      </c>
      <c r="V92" s="13">
        <f>IF(A92="","",HYPERLINK("https://calendar.google.com/calendar/render?action=TEMPLATE&amp;text="&amp;"Racksa%3A%20"&amp;SUBSTITUTE(SUBSTITUTE(SUBSTITUTE(LEFT(B92,45),"&amp;","y")," ","%20"),"#","")&amp;"%20-%20seguimiento"&amp;"&amp;dates="&amp;YEAR(IF(O92="",TODAY()+3,O92))&amp;RIGHT("0"&amp;MONTH(IF(O92="",TODAY()+3,O92)),2)&amp;RIGHT("0"&amp;DAY(IF(O92="",TODAY()+3,O92)),2)&amp;"/"&amp;YEAR(IF(O92="",TODAY()+4,O92+1))&amp;RIGHT("0"&amp;MONTH(IF(O92="",TODAY()+4,O92+1)),2)&amp;RIGHT("0"&amp;DAY(IF(O92="",TODAY()+4,O92+1)),2),"📅 Agendar"))</f>
        <v/>
      </c>
    </row>
    <row r="93">
      <c r="A93" s="11" t="inlineStr">
        <is>
          <t>P092</t>
        </is>
      </c>
      <c r="B93" s="11">
        <f>IFERROR(INDEX(Prospectos!$F:$F,MATCH(A93,Prospectos!$A:$A,0)),"")</f>
        <v/>
      </c>
      <c r="C93" s="11">
        <f>IFERROR(INDEX(Prospectos!$D:$D,MATCH(A93,Prospectos!$A:$A,0)),"")</f>
        <v/>
      </c>
      <c r="D93" s="11">
        <f>IFERROR(INDEX(Prospectos!$B:$B,MATCH(A93,Prospectos!$A:$A,0)),"")</f>
        <v/>
      </c>
      <c r="E93" s="11" t="n"/>
      <c r="F93" s="11" t="n"/>
      <c r="G93" s="11" t="n"/>
      <c r="H93" s="11" t="n"/>
      <c r="I93" s="11" t="n"/>
      <c r="J93" s="11" t="inlineStr">
        <is>
          <t>Por contactar</t>
        </is>
      </c>
      <c r="K93" s="16" t="n"/>
      <c r="L93" s="16" t="n"/>
      <c r="M93" s="11" t="n"/>
      <c r="N93" s="11" t="n"/>
      <c r="O93" s="16" t="n"/>
      <c r="P93" s="11">
        <f>IF(L93="","",TODAY()-L93)</f>
        <v/>
      </c>
      <c r="Q93" s="11" t="n"/>
      <c r="R93" s="17" t="n"/>
      <c r="S93" s="11" t="n"/>
      <c r="T93" s="13" t="inlineStr">
        <is>
          <t>✉️ Abrir correo</t>
        </is>
      </c>
      <c r="U93" s="13" t="inlineStr">
        <is>
          <t>↩️ Seguimiento</t>
        </is>
      </c>
      <c r="V93" s="13">
        <f>IF(A93="","",HYPERLINK("https://calendar.google.com/calendar/render?action=TEMPLATE&amp;text="&amp;"Racksa%3A%20"&amp;SUBSTITUTE(SUBSTITUTE(SUBSTITUTE(LEFT(B93,45),"&amp;","y")," ","%20"),"#","")&amp;"%20-%20seguimiento"&amp;"&amp;dates="&amp;YEAR(IF(O93="",TODAY()+3,O93))&amp;RIGHT("0"&amp;MONTH(IF(O93="",TODAY()+3,O93)),2)&amp;RIGHT("0"&amp;DAY(IF(O93="",TODAY()+3,O93)),2)&amp;"/"&amp;YEAR(IF(O93="",TODAY()+4,O93+1))&amp;RIGHT("0"&amp;MONTH(IF(O93="",TODAY()+4,O93+1)),2)&amp;RIGHT("0"&amp;DAY(IF(O93="",TODAY()+4,O93+1)),2),"📅 Agendar"))</f>
        <v/>
      </c>
    </row>
    <row r="94">
      <c r="A94" s="11" t="inlineStr">
        <is>
          <t>P093</t>
        </is>
      </c>
      <c r="B94" s="11">
        <f>IFERROR(INDEX(Prospectos!$F:$F,MATCH(A94,Prospectos!$A:$A,0)),"")</f>
        <v/>
      </c>
      <c r="C94" s="11">
        <f>IFERROR(INDEX(Prospectos!$D:$D,MATCH(A94,Prospectos!$A:$A,0)),"")</f>
        <v/>
      </c>
      <c r="D94" s="11">
        <f>IFERROR(INDEX(Prospectos!$B:$B,MATCH(A94,Prospectos!$A:$A,0)),"")</f>
        <v/>
      </c>
      <c r="E94" s="11" t="n"/>
      <c r="F94" s="11" t="n"/>
      <c r="G94" s="11" t="n"/>
      <c r="H94" s="11" t="n"/>
      <c r="I94" s="11" t="n"/>
      <c r="J94" s="11" t="inlineStr">
        <is>
          <t>Por contactar</t>
        </is>
      </c>
      <c r="K94" s="16" t="n"/>
      <c r="L94" s="16" t="n"/>
      <c r="M94" s="11" t="n"/>
      <c r="N94" s="11" t="n"/>
      <c r="O94" s="16" t="n"/>
      <c r="P94" s="11">
        <f>IF(L94="","",TODAY()-L94)</f>
        <v/>
      </c>
      <c r="Q94" s="11" t="n"/>
      <c r="R94" s="17" t="n"/>
      <c r="S94" s="11" t="n"/>
      <c r="T94" s="13" t="inlineStr">
        <is>
          <t>✉️ Abrir correo</t>
        </is>
      </c>
      <c r="U94" s="13" t="inlineStr">
        <is>
          <t>↩️ Seguimiento</t>
        </is>
      </c>
      <c r="V94" s="13">
        <f>IF(A94="","",HYPERLINK("https://calendar.google.com/calendar/render?action=TEMPLATE&amp;text="&amp;"Racksa%3A%20"&amp;SUBSTITUTE(SUBSTITUTE(SUBSTITUTE(LEFT(B94,45),"&amp;","y")," ","%20"),"#","")&amp;"%20-%20seguimiento"&amp;"&amp;dates="&amp;YEAR(IF(O94="",TODAY()+3,O94))&amp;RIGHT("0"&amp;MONTH(IF(O94="",TODAY()+3,O94)),2)&amp;RIGHT("0"&amp;DAY(IF(O94="",TODAY()+3,O94)),2)&amp;"/"&amp;YEAR(IF(O94="",TODAY()+4,O94+1))&amp;RIGHT("0"&amp;MONTH(IF(O94="",TODAY()+4,O94+1)),2)&amp;RIGHT("0"&amp;DAY(IF(O94="",TODAY()+4,O94+1)),2),"📅 Agendar"))</f>
        <v/>
      </c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9" t="n"/>
      <c r="L95" s="19" t="n"/>
      <c r="M95" s="18" t="n"/>
      <c r="N95" s="18" t="n"/>
      <c r="O95" s="19" t="n"/>
      <c r="P95" s="18">
        <f>IF(L95="","",TODAY()-L95)</f>
        <v/>
      </c>
      <c r="Q95" s="18" t="n"/>
      <c r="R95" s="18" t="n"/>
      <c r="S95" s="18" t="n"/>
      <c r="T95" s="18" t="n"/>
      <c r="U95" s="18" t="n"/>
      <c r="V95" s="20">
        <f>IF(A95="","",HYPERLINK("https://calendar.google.com/calendar/render?action=TEMPLATE&amp;text="&amp;"Racksa%3A%20"&amp;SUBSTITUTE(SUBSTITUTE(SUBSTITUTE(LEFT(B95,45),"&amp;","y")," ","%20"),"#","")&amp;"%20-%20seguimiento"&amp;"&amp;dates="&amp;YEAR(IF(O95="",TODAY()+3,O95))&amp;RIGHT("0"&amp;MONTH(IF(O95="",TODAY()+3,O95)),2)&amp;RIGHT("0"&amp;DAY(IF(O95="",TODAY()+3,O95)),2)&amp;"/"&amp;YEAR(IF(O95="",TODAY()+4,O95+1))&amp;RIGHT("0"&amp;MONTH(IF(O95="",TODAY()+4,O95+1)),2)&amp;RIGHT("0"&amp;DAY(IF(O95="",TODAY()+4,O95+1)),2),"📅 Agendar"))</f>
        <v/>
      </c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9" t="n"/>
      <c r="L96" s="19" t="n"/>
      <c r="M96" s="18" t="n"/>
      <c r="N96" s="18" t="n"/>
      <c r="O96" s="19" t="n"/>
      <c r="P96" s="18">
        <f>IF(L96="","",TODAY()-L96)</f>
        <v/>
      </c>
      <c r="Q96" s="18" t="n"/>
      <c r="R96" s="18" t="n"/>
      <c r="S96" s="18" t="n"/>
      <c r="T96" s="18" t="n"/>
      <c r="U96" s="18" t="n"/>
      <c r="V96" s="20">
        <f>IF(A96="","",HYPERLINK("https://calendar.google.com/calendar/render?action=TEMPLATE&amp;text="&amp;"Racksa%3A%20"&amp;SUBSTITUTE(SUBSTITUTE(SUBSTITUTE(LEFT(B96,45),"&amp;","y")," ","%20"),"#","")&amp;"%20-%20seguimiento"&amp;"&amp;dates="&amp;YEAR(IF(O96="",TODAY()+3,O96))&amp;RIGHT("0"&amp;MONTH(IF(O96="",TODAY()+3,O96)),2)&amp;RIGHT("0"&amp;DAY(IF(O96="",TODAY()+3,O96)),2)&amp;"/"&amp;YEAR(IF(O96="",TODAY()+4,O96+1))&amp;RIGHT("0"&amp;MONTH(IF(O96="",TODAY()+4,O96+1)),2)&amp;RIGHT("0"&amp;DAY(IF(O96="",TODAY()+4,O96+1)),2),"📅 Agendar"))</f>
        <v/>
      </c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9" t="n"/>
      <c r="L97" s="19" t="n"/>
      <c r="M97" s="18" t="n"/>
      <c r="N97" s="18" t="n"/>
      <c r="O97" s="19" t="n"/>
      <c r="P97" s="18">
        <f>IF(L97="","",TODAY()-L97)</f>
        <v/>
      </c>
      <c r="Q97" s="18" t="n"/>
      <c r="R97" s="18" t="n"/>
      <c r="S97" s="18" t="n"/>
      <c r="T97" s="18" t="n"/>
      <c r="U97" s="18" t="n"/>
      <c r="V97" s="20">
        <f>IF(A97="","",HYPERLINK("https://calendar.google.com/calendar/render?action=TEMPLATE&amp;text="&amp;"Racksa%3A%20"&amp;SUBSTITUTE(SUBSTITUTE(SUBSTITUTE(LEFT(B97,45),"&amp;","y")," ","%20"),"#","")&amp;"%20-%20seguimiento"&amp;"&amp;dates="&amp;YEAR(IF(O97="",TODAY()+3,O97))&amp;RIGHT("0"&amp;MONTH(IF(O97="",TODAY()+3,O97)),2)&amp;RIGHT("0"&amp;DAY(IF(O97="",TODAY()+3,O97)),2)&amp;"/"&amp;YEAR(IF(O97="",TODAY()+4,O97+1))&amp;RIGHT("0"&amp;MONTH(IF(O97="",TODAY()+4,O97+1)),2)&amp;RIGHT("0"&amp;DAY(IF(O97="",TODAY()+4,O97+1)),2),"📅 Agendar"))</f>
        <v/>
      </c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9" t="n"/>
      <c r="L98" s="19" t="n"/>
      <c r="M98" s="18" t="n"/>
      <c r="N98" s="18" t="n"/>
      <c r="O98" s="19" t="n"/>
      <c r="P98" s="18">
        <f>IF(L98="","",TODAY()-L98)</f>
        <v/>
      </c>
      <c r="Q98" s="18" t="n"/>
      <c r="R98" s="18" t="n"/>
      <c r="S98" s="18" t="n"/>
      <c r="T98" s="18" t="n"/>
      <c r="U98" s="18" t="n"/>
      <c r="V98" s="20">
        <f>IF(A98="","",HYPERLINK("https://calendar.google.com/calendar/render?action=TEMPLATE&amp;text="&amp;"Racksa%3A%20"&amp;SUBSTITUTE(SUBSTITUTE(SUBSTITUTE(LEFT(B98,45),"&amp;","y")," ","%20"),"#","")&amp;"%20-%20seguimiento"&amp;"&amp;dates="&amp;YEAR(IF(O98="",TODAY()+3,O98))&amp;RIGHT("0"&amp;MONTH(IF(O98="",TODAY()+3,O98)),2)&amp;RIGHT("0"&amp;DAY(IF(O98="",TODAY()+3,O98)),2)&amp;"/"&amp;YEAR(IF(O98="",TODAY()+4,O98+1))&amp;RIGHT("0"&amp;MONTH(IF(O98="",TODAY()+4,O98+1)),2)&amp;RIGHT("0"&amp;DAY(IF(O98="",TODAY()+4,O98+1)),2),"📅 Agendar"))</f>
        <v/>
      </c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9" t="n"/>
      <c r="L99" s="19" t="n"/>
      <c r="M99" s="18" t="n"/>
      <c r="N99" s="18" t="n"/>
      <c r="O99" s="19" t="n"/>
      <c r="P99" s="18">
        <f>IF(L99="","",TODAY()-L99)</f>
        <v/>
      </c>
      <c r="Q99" s="18" t="n"/>
      <c r="R99" s="18" t="n"/>
      <c r="S99" s="18" t="n"/>
      <c r="T99" s="18" t="n"/>
      <c r="U99" s="18" t="n"/>
      <c r="V99" s="20">
        <f>IF(A99="","",HYPERLINK("https://calendar.google.com/calendar/render?action=TEMPLATE&amp;text="&amp;"Racksa%3A%20"&amp;SUBSTITUTE(SUBSTITUTE(SUBSTITUTE(LEFT(B99,45),"&amp;","y")," ","%20"),"#","")&amp;"%20-%20seguimiento"&amp;"&amp;dates="&amp;YEAR(IF(O99="",TODAY()+3,O99))&amp;RIGHT("0"&amp;MONTH(IF(O99="",TODAY()+3,O99)),2)&amp;RIGHT("0"&amp;DAY(IF(O99="",TODAY()+3,O99)),2)&amp;"/"&amp;YEAR(IF(O99="",TODAY()+4,O99+1))&amp;RIGHT("0"&amp;MONTH(IF(O99="",TODAY()+4,O99+1)),2)&amp;RIGHT("0"&amp;DAY(IF(O99="",TODAY()+4,O99+1)),2),"📅 Agendar"))</f>
        <v/>
      </c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9" t="n"/>
      <c r="L100" s="19" t="n"/>
      <c r="M100" s="18" t="n"/>
      <c r="N100" s="18" t="n"/>
      <c r="O100" s="19" t="n"/>
      <c r="P100" s="18">
        <f>IF(L100="","",TODAY()-L100)</f>
        <v/>
      </c>
      <c r="Q100" s="18" t="n"/>
      <c r="R100" s="18" t="n"/>
      <c r="S100" s="18" t="n"/>
      <c r="T100" s="18" t="n"/>
      <c r="U100" s="18" t="n"/>
      <c r="V100" s="20">
        <f>IF(A100="","",HYPERLINK("https://calendar.google.com/calendar/render?action=TEMPLATE&amp;text="&amp;"Racksa%3A%20"&amp;SUBSTITUTE(SUBSTITUTE(SUBSTITUTE(LEFT(B100,45),"&amp;","y")," ","%20"),"#","")&amp;"%20-%20seguimiento"&amp;"&amp;dates="&amp;YEAR(IF(O100="",TODAY()+3,O100))&amp;RIGHT("0"&amp;MONTH(IF(O100="",TODAY()+3,O100)),2)&amp;RIGHT("0"&amp;DAY(IF(O100="",TODAY()+3,O100)),2)&amp;"/"&amp;YEAR(IF(O100="",TODAY()+4,O100+1))&amp;RIGHT("0"&amp;MONTH(IF(O100="",TODAY()+4,O100+1)),2)&amp;RIGHT("0"&amp;DAY(IF(O100="",TODAY()+4,O100+1)),2),"📅 Agendar"))</f>
        <v/>
      </c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9" t="n"/>
      <c r="L101" s="19" t="n"/>
      <c r="M101" s="18" t="n"/>
      <c r="N101" s="18" t="n"/>
      <c r="O101" s="19" t="n"/>
      <c r="P101" s="18">
        <f>IF(L101="","",TODAY()-L101)</f>
        <v/>
      </c>
      <c r="Q101" s="18" t="n"/>
      <c r="R101" s="18" t="n"/>
      <c r="S101" s="18" t="n"/>
      <c r="T101" s="18" t="n"/>
      <c r="U101" s="18" t="n"/>
      <c r="V101" s="20">
        <f>IF(A101="","",HYPERLINK("https://calendar.google.com/calendar/render?action=TEMPLATE&amp;text="&amp;"Racksa%3A%20"&amp;SUBSTITUTE(SUBSTITUTE(SUBSTITUTE(LEFT(B101,45),"&amp;","y")," ","%20"),"#","")&amp;"%20-%20seguimiento"&amp;"&amp;dates="&amp;YEAR(IF(O101="",TODAY()+3,O101))&amp;RIGHT("0"&amp;MONTH(IF(O101="",TODAY()+3,O101)),2)&amp;RIGHT("0"&amp;DAY(IF(O101="",TODAY()+3,O101)),2)&amp;"/"&amp;YEAR(IF(O101="",TODAY()+4,O101+1))&amp;RIGHT("0"&amp;MONTH(IF(O101="",TODAY()+4,O101+1)),2)&amp;RIGHT("0"&amp;DAY(IF(O101="",TODAY()+4,O101+1)),2),"📅 Agendar"))</f>
        <v/>
      </c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9" t="n"/>
      <c r="L102" s="19" t="n"/>
      <c r="M102" s="18" t="n"/>
      <c r="N102" s="18" t="n"/>
      <c r="O102" s="19" t="n"/>
      <c r="P102" s="18">
        <f>IF(L102="","",TODAY()-L102)</f>
        <v/>
      </c>
      <c r="Q102" s="18" t="n"/>
      <c r="R102" s="18" t="n"/>
      <c r="S102" s="18" t="n"/>
      <c r="T102" s="18" t="n"/>
      <c r="U102" s="18" t="n"/>
      <c r="V102" s="20">
        <f>IF(A102="","",HYPERLINK("https://calendar.google.com/calendar/render?action=TEMPLATE&amp;text="&amp;"Racksa%3A%20"&amp;SUBSTITUTE(SUBSTITUTE(SUBSTITUTE(LEFT(B102,45),"&amp;","y")," ","%20"),"#","")&amp;"%20-%20seguimiento"&amp;"&amp;dates="&amp;YEAR(IF(O102="",TODAY()+3,O102))&amp;RIGHT("0"&amp;MONTH(IF(O102="",TODAY()+3,O102)),2)&amp;RIGHT("0"&amp;DAY(IF(O102="",TODAY()+3,O102)),2)&amp;"/"&amp;YEAR(IF(O102="",TODAY()+4,O102+1))&amp;RIGHT("0"&amp;MONTH(IF(O102="",TODAY()+4,O102+1)),2)&amp;RIGHT("0"&amp;DAY(IF(O102="",TODAY()+4,O102+1)),2),"📅 Agendar"))</f>
        <v/>
      </c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9" t="n"/>
      <c r="L103" s="19" t="n"/>
      <c r="M103" s="18" t="n"/>
      <c r="N103" s="18" t="n"/>
      <c r="O103" s="19" t="n"/>
      <c r="P103" s="18">
        <f>IF(L103="","",TODAY()-L103)</f>
        <v/>
      </c>
      <c r="Q103" s="18" t="n"/>
      <c r="R103" s="18" t="n"/>
      <c r="S103" s="18" t="n"/>
      <c r="T103" s="18" t="n"/>
      <c r="U103" s="18" t="n"/>
      <c r="V103" s="20">
        <f>IF(A103="","",HYPERLINK("https://calendar.google.com/calendar/render?action=TEMPLATE&amp;text="&amp;"Racksa%3A%20"&amp;SUBSTITUTE(SUBSTITUTE(SUBSTITUTE(LEFT(B103,45),"&amp;","y")," ","%20"),"#","")&amp;"%20-%20seguimiento"&amp;"&amp;dates="&amp;YEAR(IF(O103="",TODAY()+3,O103))&amp;RIGHT("0"&amp;MONTH(IF(O103="",TODAY()+3,O103)),2)&amp;RIGHT("0"&amp;DAY(IF(O103="",TODAY()+3,O103)),2)&amp;"/"&amp;YEAR(IF(O103="",TODAY()+4,O103+1))&amp;RIGHT("0"&amp;MONTH(IF(O103="",TODAY()+4,O103+1)),2)&amp;RIGHT("0"&amp;DAY(IF(O103="",TODAY()+4,O103+1)),2),"📅 Agendar"))</f>
        <v/>
      </c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9" t="n"/>
      <c r="L104" s="19" t="n"/>
      <c r="M104" s="18" t="n"/>
      <c r="N104" s="18" t="n"/>
      <c r="O104" s="19" t="n"/>
      <c r="P104" s="18">
        <f>IF(L104="","",TODAY()-L104)</f>
        <v/>
      </c>
      <c r="Q104" s="18" t="n"/>
      <c r="R104" s="18" t="n"/>
      <c r="S104" s="18" t="n"/>
      <c r="T104" s="18" t="n"/>
      <c r="U104" s="18" t="n"/>
      <c r="V104" s="20">
        <f>IF(A104="","",HYPERLINK("https://calendar.google.com/calendar/render?action=TEMPLATE&amp;text="&amp;"Racksa%3A%20"&amp;SUBSTITUTE(SUBSTITUTE(SUBSTITUTE(LEFT(B104,45),"&amp;","y")," ","%20"),"#","")&amp;"%20-%20seguimiento"&amp;"&amp;dates="&amp;YEAR(IF(O104="",TODAY()+3,O104))&amp;RIGHT("0"&amp;MONTH(IF(O104="",TODAY()+3,O104)),2)&amp;RIGHT("0"&amp;DAY(IF(O104="",TODAY()+3,O104)),2)&amp;"/"&amp;YEAR(IF(O104="",TODAY()+4,O104+1))&amp;RIGHT("0"&amp;MONTH(IF(O104="",TODAY()+4,O104+1)),2)&amp;RIGHT("0"&amp;DAY(IF(O104="",TODAY()+4,O104+1)),2),"📅 Agendar"))</f>
        <v/>
      </c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9" t="n"/>
      <c r="L105" s="19" t="n"/>
      <c r="M105" s="18" t="n"/>
      <c r="N105" s="18" t="n"/>
      <c r="O105" s="19" t="n"/>
      <c r="P105" s="18">
        <f>IF(L105="","",TODAY()-L105)</f>
        <v/>
      </c>
      <c r="Q105" s="18" t="n"/>
      <c r="R105" s="18" t="n"/>
      <c r="S105" s="18" t="n"/>
      <c r="T105" s="18" t="n"/>
      <c r="U105" s="18" t="n"/>
      <c r="V105" s="20">
        <f>IF(A105="","",HYPERLINK("https://calendar.google.com/calendar/render?action=TEMPLATE&amp;text="&amp;"Racksa%3A%20"&amp;SUBSTITUTE(SUBSTITUTE(SUBSTITUTE(LEFT(B105,45),"&amp;","y")," ","%20"),"#","")&amp;"%20-%20seguimiento"&amp;"&amp;dates="&amp;YEAR(IF(O105="",TODAY()+3,O105))&amp;RIGHT("0"&amp;MONTH(IF(O105="",TODAY()+3,O105)),2)&amp;RIGHT("0"&amp;DAY(IF(O105="",TODAY()+3,O105)),2)&amp;"/"&amp;YEAR(IF(O105="",TODAY()+4,O105+1))&amp;RIGHT("0"&amp;MONTH(IF(O105="",TODAY()+4,O105+1)),2)&amp;RIGHT("0"&amp;DAY(IF(O105="",TODAY()+4,O105+1)),2),"📅 Agendar"))</f>
        <v/>
      </c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9" t="n"/>
      <c r="L106" s="19" t="n"/>
      <c r="M106" s="18" t="n"/>
      <c r="N106" s="18" t="n"/>
      <c r="O106" s="19" t="n"/>
      <c r="P106" s="18">
        <f>IF(L106="","",TODAY()-L106)</f>
        <v/>
      </c>
      <c r="Q106" s="18" t="n"/>
      <c r="R106" s="18" t="n"/>
      <c r="S106" s="18" t="n"/>
      <c r="T106" s="18" t="n"/>
      <c r="U106" s="18" t="n"/>
      <c r="V106" s="20">
        <f>IF(A106="","",HYPERLINK("https://calendar.google.com/calendar/render?action=TEMPLATE&amp;text="&amp;"Racksa%3A%20"&amp;SUBSTITUTE(SUBSTITUTE(SUBSTITUTE(LEFT(B106,45),"&amp;","y")," ","%20"),"#","")&amp;"%20-%20seguimiento"&amp;"&amp;dates="&amp;YEAR(IF(O106="",TODAY()+3,O106))&amp;RIGHT("0"&amp;MONTH(IF(O106="",TODAY()+3,O106)),2)&amp;RIGHT("0"&amp;DAY(IF(O106="",TODAY()+3,O106)),2)&amp;"/"&amp;YEAR(IF(O106="",TODAY()+4,O106+1))&amp;RIGHT("0"&amp;MONTH(IF(O106="",TODAY()+4,O106+1)),2)&amp;RIGHT("0"&amp;DAY(IF(O106="",TODAY()+4,O106+1)),2),"📅 Agendar"))</f>
        <v/>
      </c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9" t="n"/>
      <c r="L107" s="19" t="n"/>
      <c r="M107" s="18" t="n"/>
      <c r="N107" s="18" t="n"/>
      <c r="O107" s="19" t="n"/>
      <c r="P107" s="18">
        <f>IF(L107="","",TODAY()-L107)</f>
        <v/>
      </c>
      <c r="Q107" s="18" t="n"/>
      <c r="R107" s="18" t="n"/>
      <c r="S107" s="18" t="n"/>
      <c r="T107" s="18" t="n"/>
      <c r="U107" s="18" t="n"/>
      <c r="V107" s="20">
        <f>IF(A107="","",HYPERLINK("https://calendar.google.com/calendar/render?action=TEMPLATE&amp;text="&amp;"Racksa%3A%20"&amp;SUBSTITUTE(SUBSTITUTE(SUBSTITUTE(LEFT(B107,45),"&amp;","y")," ","%20"),"#","")&amp;"%20-%20seguimiento"&amp;"&amp;dates="&amp;YEAR(IF(O107="",TODAY()+3,O107))&amp;RIGHT("0"&amp;MONTH(IF(O107="",TODAY()+3,O107)),2)&amp;RIGHT("0"&amp;DAY(IF(O107="",TODAY()+3,O107)),2)&amp;"/"&amp;YEAR(IF(O107="",TODAY()+4,O107+1))&amp;RIGHT("0"&amp;MONTH(IF(O107="",TODAY()+4,O107+1)),2)&amp;RIGHT("0"&amp;DAY(IF(O107="",TODAY()+4,O107+1)),2),"📅 Agendar"))</f>
        <v/>
      </c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9" t="n"/>
      <c r="L108" s="19" t="n"/>
      <c r="M108" s="18" t="n"/>
      <c r="N108" s="18" t="n"/>
      <c r="O108" s="19" t="n"/>
      <c r="P108" s="18">
        <f>IF(L108="","",TODAY()-L108)</f>
        <v/>
      </c>
      <c r="Q108" s="18" t="n"/>
      <c r="R108" s="18" t="n"/>
      <c r="S108" s="18" t="n"/>
      <c r="T108" s="18" t="n"/>
      <c r="U108" s="18" t="n"/>
      <c r="V108" s="20">
        <f>IF(A108="","",HYPERLINK("https://calendar.google.com/calendar/render?action=TEMPLATE&amp;text="&amp;"Racksa%3A%20"&amp;SUBSTITUTE(SUBSTITUTE(SUBSTITUTE(LEFT(B108,45),"&amp;","y")," ","%20"),"#","")&amp;"%20-%20seguimiento"&amp;"&amp;dates="&amp;YEAR(IF(O108="",TODAY()+3,O108))&amp;RIGHT("0"&amp;MONTH(IF(O108="",TODAY()+3,O108)),2)&amp;RIGHT("0"&amp;DAY(IF(O108="",TODAY()+3,O108)),2)&amp;"/"&amp;YEAR(IF(O108="",TODAY()+4,O108+1))&amp;RIGHT("0"&amp;MONTH(IF(O108="",TODAY()+4,O108+1)),2)&amp;RIGHT("0"&amp;DAY(IF(O108="",TODAY()+4,O108+1)),2),"📅 Agendar"))</f>
        <v/>
      </c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9" t="n"/>
      <c r="L109" s="19" t="n"/>
      <c r="M109" s="18" t="n"/>
      <c r="N109" s="18" t="n"/>
      <c r="O109" s="19" t="n"/>
      <c r="P109" s="18">
        <f>IF(L109="","",TODAY()-L109)</f>
        <v/>
      </c>
      <c r="Q109" s="18" t="n"/>
      <c r="R109" s="18" t="n"/>
      <c r="S109" s="18" t="n"/>
      <c r="T109" s="18" t="n"/>
      <c r="U109" s="18" t="n"/>
      <c r="V109" s="20">
        <f>IF(A109="","",HYPERLINK("https://calendar.google.com/calendar/render?action=TEMPLATE&amp;text="&amp;"Racksa%3A%20"&amp;SUBSTITUTE(SUBSTITUTE(SUBSTITUTE(LEFT(B109,45),"&amp;","y")," ","%20"),"#","")&amp;"%20-%20seguimiento"&amp;"&amp;dates="&amp;YEAR(IF(O109="",TODAY()+3,O109))&amp;RIGHT("0"&amp;MONTH(IF(O109="",TODAY()+3,O109)),2)&amp;RIGHT("0"&amp;DAY(IF(O109="",TODAY()+3,O109)),2)&amp;"/"&amp;YEAR(IF(O109="",TODAY()+4,O109+1))&amp;RIGHT("0"&amp;MONTH(IF(O109="",TODAY()+4,O109+1)),2)&amp;RIGHT("0"&amp;DAY(IF(O109="",TODAY()+4,O109+1)),2),"📅 Agendar"))</f>
        <v/>
      </c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9" t="n"/>
      <c r="L110" s="19" t="n"/>
      <c r="M110" s="18" t="n"/>
      <c r="N110" s="18" t="n"/>
      <c r="O110" s="19" t="n"/>
      <c r="P110" s="18">
        <f>IF(L110="","",TODAY()-L110)</f>
        <v/>
      </c>
      <c r="Q110" s="18" t="n"/>
      <c r="R110" s="18" t="n"/>
      <c r="S110" s="18" t="n"/>
      <c r="T110" s="18" t="n"/>
      <c r="U110" s="18" t="n"/>
      <c r="V110" s="20">
        <f>IF(A110="","",HYPERLINK("https://calendar.google.com/calendar/render?action=TEMPLATE&amp;text="&amp;"Racksa%3A%20"&amp;SUBSTITUTE(SUBSTITUTE(SUBSTITUTE(LEFT(B110,45),"&amp;","y")," ","%20"),"#","")&amp;"%20-%20seguimiento"&amp;"&amp;dates="&amp;YEAR(IF(O110="",TODAY()+3,O110))&amp;RIGHT("0"&amp;MONTH(IF(O110="",TODAY()+3,O110)),2)&amp;RIGHT("0"&amp;DAY(IF(O110="",TODAY()+3,O110)),2)&amp;"/"&amp;YEAR(IF(O110="",TODAY()+4,O110+1))&amp;RIGHT("0"&amp;MONTH(IF(O110="",TODAY()+4,O110+1)),2)&amp;RIGHT("0"&amp;DAY(IF(O110="",TODAY()+4,O110+1)),2),"📅 Agendar"))</f>
        <v/>
      </c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9" t="n"/>
      <c r="L111" s="19" t="n"/>
      <c r="M111" s="18" t="n"/>
      <c r="N111" s="18" t="n"/>
      <c r="O111" s="19" t="n"/>
      <c r="P111" s="18">
        <f>IF(L111="","",TODAY()-L111)</f>
        <v/>
      </c>
      <c r="Q111" s="18" t="n"/>
      <c r="R111" s="18" t="n"/>
      <c r="S111" s="18" t="n"/>
      <c r="T111" s="18" t="n"/>
      <c r="U111" s="18" t="n"/>
      <c r="V111" s="20">
        <f>IF(A111="","",HYPERLINK("https://calendar.google.com/calendar/render?action=TEMPLATE&amp;text="&amp;"Racksa%3A%20"&amp;SUBSTITUTE(SUBSTITUTE(SUBSTITUTE(LEFT(B111,45),"&amp;","y")," ","%20"),"#","")&amp;"%20-%20seguimiento"&amp;"&amp;dates="&amp;YEAR(IF(O111="",TODAY()+3,O111))&amp;RIGHT("0"&amp;MONTH(IF(O111="",TODAY()+3,O111)),2)&amp;RIGHT("0"&amp;DAY(IF(O111="",TODAY()+3,O111)),2)&amp;"/"&amp;YEAR(IF(O111="",TODAY()+4,O111+1))&amp;RIGHT("0"&amp;MONTH(IF(O111="",TODAY()+4,O111+1)),2)&amp;RIGHT("0"&amp;DAY(IF(O111="",TODAY()+4,O111+1)),2),"📅 Agendar"))</f>
        <v/>
      </c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9" t="n"/>
      <c r="L112" s="19" t="n"/>
      <c r="M112" s="18" t="n"/>
      <c r="N112" s="18" t="n"/>
      <c r="O112" s="19" t="n"/>
      <c r="P112" s="18">
        <f>IF(L112="","",TODAY()-L112)</f>
        <v/>
      </c>
      <c r="Q112" s="18" t="n"/>
      <c r="R112" s="18" t="n"/>
      <c r="S112" s="18" t="n"/>
      <c r="T112" s="18" t="n"/>
      <c r="U112" s="18" t="n"/>
      <c r="V112" s="20">
        <f>IF(A112="","",HYPERLINK("https://calendar.google.com/calendar/render?action=TEMPLATE&amp;text="&amp;"Racksa%3A%20"&amp;SUBSTITUTE(SUBSTITUTE(SUBSTITUTE(LEFT(B112,45),"&amp;","y")," ","%20"),"#","")&amp;"%20-%20seguimiento"&amp;"&amp;dates="&amp;YEAR(IF(O112="",TODAY()+3,O112))&amp;RIGHT("0"&amp;MONTH(IF(O112="",TODAY()+3,O112)),2)&amp;RIGHT("0"&amp;DAY(IF(O112="",TODAY()+3,O112)),2)&amp;"/"&amp;YEAR(IF(O112="",TODAY()+4,O112+1))&amp;RIGHT("0"&amp;MONTH(IF(O112="",TODAY()+4,O112+1)),2)&amp;RIGHT("0"&amp;DAY(IF(O112="",TODAY()+4,O112+1)),2),"📅 Agendar"))</f>
        <v/>
      </c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9" t="n"/>
      <c r="L113" s="19" t="n"/>
      <c r="M113" s="18" t="n"/>
      <c r="N113" s="18" t="n"/>
      <c r="O113" s="19" t="n"/>
      <c r="P113" s="18">
        <f>IF(L113="","",TODAY()-L113)</f>
        <v/>
      </c>
      <c r="Q113" s="18" t="n"/>
      <c r="R113" s="18" t="n"/>
      <c r="S113" s="18" t="n"/>
      <c r="T113" s="18" t="n"/>
      <c r="U113" s="18" t="n"/>
      <c r="V113" s="20">
        <f>IF(A113="","",HYPERLINK("https://calendar.google.com/calendar/render?action=TEMPLATE&amp;text="&amp;"Racksa%3A%20"&amp;SUBSTITUTE(SUBSTITUTE(SUBSTITUTE(LEFT(B113,45),"&amp;","y")," ","%20"),"#","")&amp;"%20-%20seguimiento"&amp;"&amp;dates="&amp;YEAR(IF(O113="",TODAY()+3,O113))&amp;RIGHT("0"&amp;MONTH(IF(O113="",TODAY()+3,O113)),2)&amp;RIGHT("0"&amp;DAY(IF(O113="",TODAY()+3,O113)),2)&amp;"/"&amp;YEAR(IF(O113="",TODAY()+4,O113+1))&amp;RIGHT("0"&amp;MONTH(IF(O113="",TODAY()+4,O113+1)),2)&amp;RIGHT("0"&amp;DAY(IF(O113="",TODAY()+4,O113+1)),2),"📅 Agendar"))</f>
        <v/>
      </c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9" t="n"/>
      <c r="L114" s="19" t="n"/>
      <c r="M114" s="18" t="n"/>
      <c r="N114" s="18" t="n"/>
      <c r="O114" s="19" t="n"/>
      <c r="P114" s="18">
        <f>IF(L114="","",TODAY()-L114)</f>
        <v/>
      </c>
      <c r="Q114" s="18" t="n"/>
      <c r="R114" s="18" t="n"/>
      <c r="S114" s="18" t="n"/>
      <c r="T114" s="18" t="n"/>
      <c r="U114" s="18" t="n"/>
      <c r="V114" s="20">
        <f>IF(A114="","",HYPERLINK("https://calendar.google.com/calendar/render?action=TEMPLATE&amp;text="&amp;"Racksa%3A%20"&amp;SUBSTITUTE(SUBSTITUTE(SUBSTITUTE(LEFT(B114,45),"&amp;","y")," ","%20"),"#","")&amp;"%20-%20seguimiento"&amp;"&amp;dates="&amp;YEAR(IF(O114="",TODAY()+3,O114))&amp;RIGHT("0"&amp;MONTH(IF(O114="",TODAY()+3,O114)),2)&amp;RIGHT("0"&amp;DAY(IF(O114="",TODAY()+3,O114)),2)&amp;"/"&amp;YEAR(IF(O114="",TODAY()+4,O114+1))&amp;RIGHT("0"&amp;MONTH(IF(O114="",TODAY()+4,O114+1)),2)&amp;RIGHT("0"&amp;DAY(IF(O114="",TODAY()+4,O114+1)),2),"📅 Agendar"))</f>
        <v/>
      </c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9" t="n"/>
      <c r="L115" s="19" t="n"/>
      <c r="M115" s="18" t="n"/>
      <c r="N115" s="18" t="n"/>
      <c r="O115" s="19" t="n"/>
      <c r="P115" s="18">
        <f>IF(L115="","",TODAY()-L115)</f>
        <v/>
      </c>
      <c r="Q115" s="18" t="n"/>
      <c r="R115" s="18" t="n"/>
      <c r="S115" s="18" t="n"/>
      <c r="T115" s="18" t="n"/>
      <c r="U115" s="18" t="n"/>
      <c r="V115" s="20">
        <f>IF(A115="","",HYPERLINK("https://calendar.google.com/calendar/render?action=TEMPLATE&amp;text="&amp;"Racksa%3A%20"&amp;SUBSTITUTE(SUBSTITUTE(SUBSTITUTE(LEFT(B115,45),"&amp;","y")," ","%20"),"#","")&amp;"%20-%20seguimiento"&amp;"&amp;dates="&amp;YEAR(IF(O115="",TODAY()+3,O115))&amp;RIGHT("0"&amp;MONTH(IF(O115="",TODAY()+3,O115)),2)&amp;RIGHT("0"&amp;DAY(IF(O115="",TODAY()+3,O115)),2)&amp;"/"&amp;YEAR(IF(O115="",TODAY()+4,O115+1))&amp;RIGHT("0"&amp;MONTH(IF(O115="",TODAY()+4,O115+1)),2)&amp;RIGHT("0"&amp;DAY(IF(O115="",TODAY()+4,O115+1)),2),"📅 Agendar"))</f>
        <v/>
      </c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9" t="n"/>
      <c r="L116" s="19" t="n"/>
      <c r="M116" s="18" t="n"/>
      <c r="N116" s="18" t="n"/>
      <c r="O116" s="19" t="n"/>
      <c r="P116" s="18">
        <f>IF(L116="","",TODAY()-L116)</f>
        <v/>
      </c>
      <c r="Q116" s="18" t="n"/>
      <c r="R116" s="18" t="n"/>
      <c r="S116" s="18" t="n"/>
      <c r="T116" s="18" t="n"/>
      <c r="U116" s="18" t="n"/>
      <c r="V116" s="20">
        <f>IF(A116="","",HYPERLINK("https://calendar.google.com/calendar/render?action=TEMPLATE&amp;text="&amp;"Racksa%3A%20"&amp;SUBSTITUTE(SUBSTITUTE(SUBSTITUTE(LEFT(B116,45),"&amp;","y")," ","%20"),"#","")&amp;"%20-%20seguimiento"&amp;"&amp;dates="&amp;YEAR(IF(O116="",TODAY()+3,O116))&amp;RIGHT("0"&amp;MONTH(IF(O116="",TODAY()+3,O116)),2)&amp;RIGHT("0"&amp;DAY(IF(O116="",TODAY()+3,O116)),2)&amp;"/"&amp;YEAR(IF(O116="",TODAY()+4,O116+1))&amp;RIGHT("0"&amp;MONTH(IF(O116="",TODAY()+4,O116+1)),2)&amp;RIGHT("0"&amp;DAY(IF(O116="",TODAY()+4,O116+1)),2),"📅 Agendar"))</f>
        <v/>
      </c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9" t="n"/>
      <c r="L117" s="19" t="n"/>
      <c r="M117" s="18" t="n"/>
      <c r="N117" s="18" t="n"/>
      <c r="O117" s="19" t="n"/>
      <c r="P117" s="18">
        <f>IF(L117="","",TODAY()-L117)</f>
        <v/>
      </c>
      <c r="Q117" s="18" t="n"/>
      <c r="R117" s="18" t="n"/>
      <c r="S117" s="18" t="n"/>
      <c r="T117" s="18" t="n"/>
      <c r="U117" s="18" t="n"/>
      <c r="V117" s="20">
        <f>IF(A117="","",HYPERLINK("https://calendar.google.com/calendar/render?action=TEMPLATE&amp;text="&amp;"Racksa%3A%20"&amp;SUBSTITUTE(SUBSTITUTE(SUBSTITUTE(LEFT(B117,45),"&amp;","y")," ","%20"),"#","")&amp;"%20-%20seguimiento"&amp;"&amp;dates="&amp;YEAR(IF(O117="",TODAY()+3,O117))&amp;RIGHT("0"&amp;MONTH(IF(O117="",TODAY()+3,O117)),2)&amp;RIGHT("0"&amp;DAY(IF(O117="",TODAY()+3,O117)),2)&amp;"/"&amp;YEAR(IF(O117="",TODAY()+4,O117+1))&amp;RIGHT("0"&amp;MONTH(IF(O117="",TODAY()+4,O117+1)),2)&amp;RIGHT("0"&amp;DAY(IF(O117="",TODAY()+4,O117+1)),2),"📅 Agendar"))</f>
        <v/>
      </c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9" t="n"/>
      <c r="L118" s="19" t="n"/>
      <c r="M118" s="18" t="n"/>
      <c r="N118" s="18" t="n"/>
      <c r="O118" s="19" t="n"/>
      <c r="P118" s="18">
        <f>IF(L118="","",TODAY()-L118)</f>
        <v/>
      </c>
      <c r="Q118" s="18" t="n"/>
      <c r="R118" s="18" t="n"/>
      <c r="S118" s="18" t="n"/>
      <c r="T118" s="18" t="n"/>
      <c r="U118" s="18" t="n"/>
      <c r="V118" s="20">
        <f>IF(A118="","",HYPERLINK("https://calendar.google.com/calendar/render?action=TEMPLATE&amp;text="&amp;"Racksa%3A%20"&amp;SUBSTITUTE(SUBSTITUTE(SUBSTITUTE(LEFT(B118,45),"&amp;","y")," ","%20"),"#","")&amp;"%20-%20seguimiento"&amp;"&amp;dates="&amp;YEAR(IF(O118="",TODAY()+3,O118))&amp;RIGHT("0"&amp;MONTH(IF(O118="",TODAY()+3,O118)),2)&amp;RIGHT("0"&amp;DAY(IF(O118="",TODAY()+3,O118)),2)&amp;"/"&amp;YEAR(IF(O118="",TODAY()+4,O118+1))&amp;RIGHT("0"&amp;MONTH(IF(O118="",TODAY()+4,O118+1)),2)&amp;RIGHT("0"&amp;DAY(IF(O118="",TODAY()+4,O118+1)),2),"📅 Agendar"))</f>
        <v/>
      </c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9" t="n"/>
      <c r="L119" s="19" t="n"/>
      <c r="M119" s="18" t="n"/>
      <c r="N119" s="18" t="n"/>
      <c r="O119" s="19" t="n"/>
      <c r="P119" s="18">
        <f>IF(L119="","",TODAY()-L119)</f>
        <v/>
      </c>
      <c r="Q119" s="18" t="n"/>
      <c r="R119" s="18" t="n"/>
      <c r="S119" s="18" t="n"/>
      <c r="T119" s="18" t="n"/>
      <c r="U119" s="18" t="n"/>
      <c r="V119" s="20">
        <f>IF(A119="","",HYPERLINK("https://calendar.google.com/calendar/render?action=TEMPLATE&amp;text="&amp;"Racksa%3A%20"&amp;SUBSTITUTE(SUBSTITUTE(SUBSTITUTE(LEFT(B119,45),"&amp;","y")," ","%20"),"#","")&amp;"%20-%20seguimiento"&amp;"&amp;dates="&amp;YEAR(IF(O119="",TODAY()+3,O119))&amp;RIGHT("0"&amp;MONTH(IF(O119="",TODAY()+3,O119)),2)&amp;RIGHT("0"&amp;DAY(IF(O119="",TODAY()+3,O119)),2)&amp;"/"&amp;YEAR(IF(O119="",TODAY()+4,O119+1))&amp;RIGHT("0"&amp;MONTH(IF(O119="",TODAY()+4,O119+1)),2)&amp;RIGHT("0"&amp;DAY(IF(O119="",TODAY()+4,O119+1)),2),"📅 Agendar"))</f>
        <v/>
      </c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9" t="n"/>
      <c r="L120" s="19" t="n"/>
      <c r="M120" s="18" t="n"/>
      <c r="N120" s="18" t="n"/>
      <c r="O120" s="19" t="n"/>
      <c r="P120" s="18">
        <f>IF(L120="","",TODAY()-L120)</f>
        <v/>
      </c>
      <c r="Q120" s="18" t="n"/>
      <c r="R120" s="18" t="n"/>
      <c r="S120" s="18" t="n"/>
      <c r="T120" s="18" t="n"/>
      <c r="U120" s="18" t="n"/>
      <c r="V120" s="20">
        <f>IF(A120="","",HYPERLINK("https://calendar.google.com/calendar/render?action=TEMPLATE&amp;text="&amp;"Racksa%3A%20"&amp;SUBSTITUTE(SUBSTITUTE(SUBSTITUTE(LEFT(B120,45),"&amp;","y")," ","%20"),"#","")&amp;"%20-%20seguimiento"&amp;"&amp;dates="&amp;YEAR(IF(O120="",TODAY()+3,O120))&amp;RIGHT("0"&amp;MONTH(IF(O120="",TODAY()+3,O120)),2)&amp;RIGHT("0"&amp;DAY(IF(O120="",TODAY()+3,O120)),2)&amp;"/"&amp;YEAR(IF(O120="",TODAY()+4,O120+1))&amp;RIGHT("0"&amp;MONTH(IF(O120="",TODAY()+4,O120+1)),2)&amp;RIGHT("0"&amp;DAY(IF(O120="",TODAY()+4,O120+1)),2),"📅 Agendar"))</f>
        <v/>
      </c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9" t="n"/>
      <c r="L121" s="19" t="n"/>
      <c r="M121" s="18" t="n"/>
      <c r="N121" s="18" t="n"/>
      <c r="O121" s="19" t="n"/>
      <c r="P121" s="18">
        <f>IF(L121="","",TODAY()-L121)</f>
        <v/>
      </c>
      <c r="Q121" s="18" t="n"/>
      <c r="R121" s="18" t="n"/>
      <c r="S121" s="18" t="n"/>
      <c r="T121" s="18" t="n"/>
      <c r="U121" s="18" t="n"/>
      <c r="V121" s="20">
        <f>IF(A121="","",HYPERLINK("https://calendar.google.com/calendar/render?action=TEMPLATE&amp;text="&amp;"Racksa%3A%20"&amp;SUBSTITUTE(SUBSTITUTE(SUBSTITUTE(LEFT(B121,45),"&amp;","y")," ","%20"),"#","")&amp;"%20-%20seguimiento"&amp;"&amp;dates="&amp;YEAR(IF(O121="",TODAY()+3,O121))&amp;RIGHT("0"&amp;MONTH(IF(O121="",TODAY()+3,O121)),2)&amp;RIGHT("0"&amp;DAY(IF(O121="",TODAY()+3,O121)),2)&amp;"/"&amp;YEAR(IF(O121="",TODAY()+4,O121+1))&amp;RIGHT("0"&amp;MONTH(IF(O121="",TODAY()+4,O121+1)),2)&amp;RIGHT("0"&amp;DAY(IF(O121="",TODAY()+4,O121+1)),2),"📅 Agendar"))</f>
        <v/>
      </c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9" t="n"/>
      <c r="L122" s="19" t="n"/>
      <c r="M122" s="18" t="n"/>
      <c r="N122" s="18" t="n"/>
      <c r="O122" s="19" t="n"/>
      <c r="P122" s="18">
        <f>IF(L122="","",TODAY()-L122)</f>
        <v/>
      </c>
      <c r="Q122" s="18" t="n"/>
      <c r="R122" s="18" t="n"/>
      <c r="S122" s="18" t="n"/>
      <c r="T122" s="18" t="n"/>
      <c r="U122" s="18" t="n"/>
      <c r="V122" s="20">
        <f>IF(A122="","",HYPERLINK("https://calendar.google.com/calendar/render?action=TEMPLATE&amp;text="&amp;"Racksa%3A%20"&amp;SUBSTITUTE(SUBSTITUTE(SUBSTITUTE(LEFT(B122,45),"&amp;","y")," ","%20"),"#","")&amp;"%20-%20seguimiento"&amp;"&amp;dates="&amp;YEAR(IF(O122="",TODAY()+3,O122))&amp;RIGHT("0"&amp;MONTH(IF(O122="",TODAY()+3,O122)),2)&amp;RIGHT("0"&amp;DAY(IF(O122="",TODAY()+3,O122)),2)&amp;"/"&amp;YEAR(IF(O122="",TODAY()+4,O122+1))&amp;RIGHT("0"&amp;MONTH(IF(O122="",TODAY()+4,O122+1)),2)&amp;RIGHT("0"&amp;DAY(IF(O122="",TODAY()+4,O122+1)),2),"📅 Agendar"))</f>
        <v/>
      </c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9" t="n"/>
      <c r="L123" s="19" t="n"/>
      <c r="M123" s="18" t="n"/>
      <c r="N123" s="18" t="n"/>
      <c r="O123" s="19" t="n"/>
      <c r="P123" s="18">
        <f>IF(L123="","",TODAY()-L123)</f>
        <v/>
      </c>
      <c r="Q123" s="18" t="n"/>
      <c r="R123" s="18" t="n"/>
      <c r="S123" s="18" t="n"/>
      <c r="T123" s="18" t="n"/>
      <c r="U123" s="18" t="n"/>
      <c r="V123" s="20">
        <f>IF(A123="","",HYPERLINK("https://calendar.google.com/calendar/render?action=TEMPLATE&amp;text="&amp;"Racksa%3A%20"&amp;SUBSTITUTE(SUBSTITUTE(SUBSTITUTE(LEFT(B123,45),"&amp;","y")," ","%20"),"#","")&amp;"%20-%20seguimiento"&amp;"&amp;dates="&amp;YEAR(IF(O123="",TODAY()+3,O123))&amp;RIGHT("0"&amp;MONTH(IF(O123="",TODAY()+3,O123)),2)&amp;RIGHT("0"&amp;DAY(IF(O123="",TODAY()+3,O123)),2)&amp;"/"&amp;YEAR(IF(O123="",TODAY()+4,O123+1))&amp;RIGHT("0"&amp;MONTH(IF(O123="",TODAY()+4,O123+1)),2)&amp;RIGHT("0"&amp;DAY(IF(O123="",TODAY()+4,O123+1)),2),"📅 Agendar"))</f>
        <v/>
      </c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9" t="n"/>
      <c r="L124" s="19" t="n"/>
      <c r="M124" s="18" t="n"/>
      <c r="N124" s="18" t="n"/>
      <c r="O124" s="19" t="n"/>
      <c r="P124" s="18">
        <f>IF(L124="","",TODAY()-L124)</f>
        <v/>
      </c>
      <c r="Q124" s="18" t="n"/>
      <c r="R124" s="18" t="n"/>
      <c r="S124" s="18" t="n"/>
      <c r="T124" s="18" t="n"/>
      <c r="U124" s="18" t="n"/>
      <c r="V124" s="20">
        <f>IF(A124="","",HYPERLINK("https://calendar.google.com/calendar/render?action=TEMPLATE&amp;text="&amp;"Racksa%3A%20"&amp;SUBSTITUTE(SUBSTITUTE(SUBSTITUTE(LEFT(B124,45),"&amp;","y")," ","%20"),"#","")&amp;"%20-%20seguimiento"&amp;"&amp;dates="&amp;YEAR(IF(O124="",TODAY()+3,O124))&amp;RIGHT("0"&amp;MONTH(IF(O124="",TODAY()+3,O124)),2)&amp;RIGHT("0"&amp;DAY(IF(O124="",TODAY()+3,O124)),2)&amp;"/"&amp;YEAR(IF(O124="",TODAY()+4,O124+1))&amp;RIGHT("0"&amp;MONTH(IF(O124="",TODAY()+4,O124+1)),2)&amp;RIGHT("0"&amp;DAY(IF(O124="",TODAY()+4,O124+1)),2),"📅 Agendar"))</f>
        <v/>
      </c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9" t="n"/>
      <c r="L125" s="19" t="n"/>
      <c r="M125" s="18" t="n"/>
      <c r="N125" s="18" t="n"/>
      <c r="O125" s="19" t="n"/>
      <c r="P125" s="18">
        <f>IF(L125="","",TODAY()-L125)</f>
        <v/>
      </c>
      <c r="Q125" s="18" t="n"/>
      <c r="R125" s="18" t="n"/>
      <c r="S125" s="18" t="n"/>
      <c r="T125" s="18" t="n"/>
      <c r="U125" s="18" t="n"/>
      <c r="V125" s="20">
        <f>IF(A125="","",HYPERLINK("https://calendar.google.com/calendar/render?action=TEMPLATE&amp;text="&amp;"Racksa%3A%20"&amp;SUBSTITUTE(SUBSTITUTE(SUBSTITUTE(LEFT(B125,45),"&amp;","y")," ","%20"),"#","")&amp;"%20-%20seguimiento"&amp;"&amp;dates="&amp;YEAR(IF(O125="",TODAY()+3,O125))&amp;RIGHT("0"&amp;MONTH(IF(O125="",TODAY()+3,O125)),2)&amp;RIGHT("0"&amp;DAY(IF(O125="",TODAY()+3,O125)),2)&amp;"/"&amp;YEAR(IF(O125="",TODAY()+4,O125+1))&amp;RIGHT("0"&amp;MONTH(IF(O125="",TODAY()+4,O125+1)),2)&amp;RIGHT("0"&amp;DAY(IF(O125="",TODAY()+4,O125+1)),2),"📅 Agendar"))</f>
        <v/>
      </c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9" t="n"/>
      <c r="L126" s="19" t="n"/>
      <c r="M126" s="18" t="n"/>
      <c r="N126" s="18" t="n"/>
      <c r="O126" s="19" t="n"/>
      <c r="P126" s="18">
        <f>IF(L126="","",TODAY()-L126)</f>
        <v/>
      </c>
      <c r="Q126" s="18" t="n"/>
      <c r="R126" s="18" t="n"/>
      <c r="S126" s="18" t="n"/>
      <c r="T126" s="18" t="n"/>
      <c r="U126" s="18" t="n"/>
      <c r="V126" s="20">
        <f>IF(A126="","",HYPERLINK("https://calendar.google.com/calendar/render?action=TEMPLATE&amp;text="&amp;"Racksa%3A%20"&amp;SUBSTITUTE(SUBSTITUTE(SUBSTITUTE(LEFT(B126,45),"&amp;","y")," ","%20"),"#","")&amp;"%20-%20seguimiento"&amp;"&amp;dates="&amp;YEAR(IF(O126="",TODAY()+3,O126))&amp;RIGHT("0"&amp;MONTH(IF(O126="",TODAY()+3,O126)),2)&amp;RIGHT("0"&amp;DAY(IF(O126="",TODAY()+3,O126)),2)&amp;"/"&amp;YEAR(IF(O126="",TODAY()+4,O126+1))&amp;RIGHT("0"&amp;MONTH(IF(O126="",TODAY()+4,O126+1)),2)&amp;RIGHT("0"&amp;DAY(IF(O126="",TODAY()+4,O126+1)),2),"📅 Agendar"))</f>
        <v/>
      </c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9" t="n"/>
      <c r="L127" s="19" t="n"/>
      <c r="M127" s="18" t="n"/>
      <c r="N127" s="18" t="n"/>
      <c r="O127" s="19" t="n"/>
      <c r="P127" s="18">
        <f>IF(L127="","",TODAY()-L127)</f>
        <v/>
      </c>
      <c r="Q127" s="18" t="n"/>
      <c r="R127" s="18" t="n"/>
      <c r="S127" s="18" t="n"/>
      <c r="T127" s="18" t="n"/>
      <c r="U127" s="18" t="n"/>
      <c r="V127" s="20">
        <f>IF(A127="","",HYPERLINK("https://calendar.google.com/calendar/render?action=TEMPLATE&amp;text="&amp;"Racksa%3A%20"&amp;SUBSTITUTE(SUBSTITUTE(SUBSTITUTE(LEFT(B127,45),"&amp;","y")," ","%20"),"#","")&amp;"%20-%20seguimiento"&amp;"&amp;dates="&amp;YEAR(IF(O127="",TODAY()+3,O127))&amp;RIGHT("0"&amp;MONTH(IF(O127="",TODAY()+3,O127)),2)&amp;RIGHT("0"&amp;DAY(IF(O127="",TODAY()+3,O127)),2)&amp;"/"&amp;YEAR(IF(O127="",TODAY()+4,O127+1))&amp;RIGHT("0"&amp;MONTH(IF(O127="",TODAY()+4,O127+1)),2)&amp;RIGHT("0"&amp;DAY(IF(O127="",TODAY()+4,O127+1)),2),"📅 Agendar"))</f>
        <v/>
      </c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9" t="n"/>
      <c r="L128" s="19" t="n"/>
      <c r="M128" s="18" t="n"/>
      <c r="N128" s="18" t="n"/>
      <c r="O128" s="19" t="n"/>
      <c r="P128" s="18">
        <f>IF(L128="","",TODAY()-L128)</f>
        <v/>
      </c>
      <c r="Q128" s="18" t="n"/>
      <c r="R128" s="18" t="n"/>
      <c r="S128" s="18" t="n"/>
      <c r="T128" s="18" t="n"/>
      <c r="U128" s="18" t="n"/>
      <c r="V128" s="20">
        <f>IF(A128="","",HYPERLINK("https://calendar.google.com/calendar/render?action=TEMPLATE&amp;text="&amp;"Racksa%3A%20"&amp;SUBSTITUTE(SUBSTITUTE(SUBSTITUTE(LEFT(B128,45),"&amp;","y")," ","%20"),"#","")&amp;"%20-%20seguimiento"&amp;"&amp;dates="&amp;YEAR(IF(O128="",TODAY()+3,O128))&amp;RIGHT("0"&amp;MONTH(IF(O128="",TODAY()+3,O128)),2)&amp;RIGHT("0"&amp;DAY(IF(O128="",TODAY()+3,O128)),2)&amp;"/"&amp;YEAR(IF(O128="",TODAY()+4,O128+1))&amp;RIGHT("0"&amp;MONTH(IF(O128="",TODAY()+4,O128+1)),2)&amp;RIGHT("0"&amp;DAY(IF(O128="",TODAY()+4,O128+1)),2),"📅 Agendar"))</f>
        <v/>
      </c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9" t="n"/>
      <c r="L129" s="19" t="n"/>
      <c r="M129" s="18" t="n"/>
      <c r="N129" s="18" t="n"/>
      <c r="O129" s="19" t="n"/>
      <c r="P129" s="18">
        <f>IF(L129="","",TODAY()-L129)</f>
        <v/>
      </c>
      <c r="Q129" s="18" t="n"/>
      <c r="R129" s="18" t="n"/>
      <c r="S129" s="18" t="n"/>
      <c r="T129" s="18" t="n"/>
      <c r="U129" s="18" t="n"/>
      <c r="V129" s="20">
        <f>IF(A129="","",HYPERLINK("https://calendar.google.com/calendar/render?action=TEMPLATE&amp;text="&amp;"Racksa%3A%20"&amp;SUBSTITUTE(SUBSTITUTE(SUBSTITUTE(LEFT(B129,45),"&amp;","y")," ","%20"),"#","")&amp;"%20-%20seguimiento"&amp;"&amp;dates="&amp;YEAR(IF(O129="",TODAY()+3,O129))&amp;RIGHT("0"&amp;MONTH(IF(O129="",TODAY()+3,O129)),2)&amp;RIGHT("0"&amp;DAY(IF(O129="",TODAY()+3,O129)),2)&amp;"/"&amp;YEAR(IF(O129="",TODAY()+4,O129+1))&amp;RIGHT("0"&amp;MONTH(IF(O129="",TODAY()+4,O129+1)),2)&amp;RIGHT("0"&amp;DAY(IF(O129="",TODAY()+4,O129+1)),2),"📅 Agendar"))</f>
        <v/>
      </c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9" t="n"/>
      <c r="L130" s="19" t="n"/>
      <c r="M130" s="18" t="n"/>
      <c r="N130" s="18" t="n"/>
      <c r="O130" s="19" t="n"/>
      <c r="P130" s="18">
        <f>IF(L130="","",TODAY()-L130)</f>
        <v/>
      </c>
      <c r="Q130" s="18" t="n"/>
      <c r="R130" s="18" t="n"/>
      <c r="S130" s="18" t="n"/>
      <c r="T130" s="18" t="n"/>
      <c r="U130" s="18" t="n"/>
      <c r="V130" s="20">
        <f>IF(A130="","",HYPERLINK("https://calendar.google.com/calendar/render?action=TEMPLATE&amp;text="&amp;"Racksa%3A%20"&amp;SUBSTITUTE(SUBSTITUTE(SUBSTITUTE(LEFT(B130,45),"&amp;","y")," ","%20"),"#","")&amp;"%20-%20seguimiento"&amp;"&amp;dates="&amp;YEAR(IF(O130="",TODAY()+3,O130))&amp;RIGHT("0"&amp;MONTH(IF(O130="",TODAY()+3,O130)),2)&amp;RIGHT("0"&amp;DAY(IF(O130="",TODAY()+3,O130)),2)&amp;"/"&amp;YEAR(IF(O130="",TODAY()+4,O130+1))&amp;RIGHT("0"&amp;MONTH(IF(O130="",TODAY()+4,O130+1)),2)&amp;RIGHT("0"&amp;DAY(IF(O130="",TODAY()+4,O130+1)),2),"📅 Agendar"))</f>
        <v/>
      </c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9" t="n"/>
      <c r="L131" s="19" t="n"/>
      <c r="M131" s="18" t="n"/>
      <c r="N131" s="18" t="n"/>
      <c r="O131" s="19" t="n"/>
      <c r="P131" s="18">
        <f>IF(L131="","",TODAY()-L131)</f>
        <v/>
      </c>
      <c r="Q131" s="18" t="n"/>
      <c r="R131" s="18" t="n"/>
      <c r="S131" s="18" t="n"/>
      <c r="T131" s="18" t="n"/>
      <c r="U131" s="18" t="n"/>
      <c r="V131" s="20">
        <f>IF(A131="","",HYPERLINK("https://calendar.google.com/calendar/render?action=TEMPLATE&amp;text="&amp;"Racksa%3A%20"&amp;SUBSTITUTE(SUBSTITUTE(SUBSTITUTE(LEFT(B131,45),"&amp;","y")," ","%20"),"#","")&amp;"%20-%20seguimiento"&amp;"&amp;dates="&amp;YEAR(IF(O131="",TODAY()+3,O131))&amp;RIGHT("0"&amp;MONTH(IF(O131="",TODAY()+3,O131)),2)&amp;RIGHT("0"&amp;DAY(IF(O131="",TODAY()+3,O131)),2)&amp;"/"&amp;YEAR(IF(O131="",TODAY()+4,O131+1))&amp;RIGHT("0"&amp;MONTH(IF(O131="",TODAY()+4,O131+1)),2)&amp;RIGHT("0"&amp;DAY(IF(O131="",TODAY()+4,O131+1)),2),"📅 Agendar"))</f>
        <v/>
      </c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9" t="n"/>
      <c r="L132" s="19" t="n"/>
      <c r="M132" s="18" t="n"/>
      <c r="N132" s="18" t="n"/>
      <c r="O132" s="19" t="n"/>
      <c r="P132" s="18">
        <f>IF(L132="","",TODAY()-L132)</f>
        <v/>
      </c>
      <c r="Q132" s="18" t="n"/>
      <c r="R132" s="18" t="n"/>
      <c r="S132" s="18" t="n"/>
      <c r="T132" s="18" t="n"/>
      <c r="U132" s="18" t="n"/>
      <c r="V132" s="20">
        <f>IF(A132="","",HYPERLINK("https://calendar.google.com/calendar/render?action=TEMPLATE&amp;text="&amp;"Racksa%3A%20"&amp;SUBSTITUTE(SUBSTITUTE(SUBSTITUTE(LEFT(B132,45),"&amp;","y")," ","%20"),"#","")&amp;"%20-%20seguimiento"&amp;"&amp;dates="&amp;YEAR(IF(O132="",TODAY()+3,O132))&amp;RIGHT("0"&amp;MONTH(IF(O132="",TODAY()+3,O132)),2)&amp;RIGHT("0"&amp;DAY(IF(O132="",TODAY()+3,O132)),2)&amp;"/"&amp;YEAR(IF(O132="",TODAY()+4,O132+1))&amp;RIGHT("0"&amp;MONTH(IF(O132="",TODAY()+4,O132+1)),2)&amp;RIGHT("0"&amp;DAY(IF(O132="",TODAY()+4,O132+1)),2),"📅 Agendar"))</f>
        <v/>
      </c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9" t="n"/>
      <c r="L133" s="19" t="n"/>
      <c r="M133" s="18" t="n"/>
      <c r="N133" s="18" t="n"/>
      <c r="O133" s="19" t="n"/>
      <c r="P133" s="18">
        <f>IF(L133="","",TODAY()-L133)</f>
        <v/>
      </c>
      <c r="Q133" s="18" t="n"/>
      <c r="R133" s="18" t="n"/>
      <c r="S133" s="18" t="n"/>
      <c r="T133" s="18" t="n"/>
      <c r="U133" s="18" t="n"/>
      <c r="V133" s="20">
        <f>IF(A133="","",HYPERLINK("https://calendar.google.com/calendar/render?action=TEMPLATE&amp;text="&amp;"Racksa%3A%20"&amp;SUBSTITUTE(SUBSTITUTE(SUBSTITUTE(LEFT(B133,45),"&amp;","y")," ","%20"),"#","")&amp;"%20-%20seguimiento"&amp;"&amp;dates="&amp;YEAR(IF(O133="",TODAY()+3,O133))&amp;RIGHT("0"&amp;MONTH(IF(O133="",TODAY()+3,O133)),2)&amp;RIGHT("0"&amp;DAY(IF(O133="",TODAY()+3,O133)),2)&amp;"/"&amp;YEAR(IF(O133="",TODAY()+4,O133+1))&amp;RIGHT("0"&amp;MONTH(IF(O133="",TODAY()+4,O133+1)),2)&amp;RIGHT("0"&amp;DAY(IF(O133="",TODAY()+4,O133+1)),2),"📅 Agendar"))</f>
        <v/>
      </c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9" t="n"/>
      <c r="L134" s="19" t="n"/>
      <c r="M134" s="18" t="n"/>
      <c r="N134" s="18" t="n"/>
      <c r="O134" s="19" t="n"/>
      <c r="P134" s="18">
        <f>IF(L134="","",TODAY()-L134)</f>
        <v/>
      </c>
      <c r="Q134" s="18" t="n"/>
      <c r="R134" s="18" t="n"/>
      <c r="S134" s="18" t="n"/>
      <c r="T134" s="18" t="n"/>
      <c r="U134" s="18" t="n"/>
      <c r="V134" s="20">
        <f>IF(A134="","",HYPERLINK("https://calendar.google.com/calendar/render?action=TEMPLATE&amp;text="&amp;"Racksa%3A%20"&amp;SUBSTITUTE(SUBSTITUTE(SUBSTITUTE(LEFT(B134,45),"&amp;","y")," ","%20"),"#","")&amp;"%20-%20seguimiento"&amp;"&amp;dates="&amp;YEAR(IF(O134="",TODAY()+3,O134))&amp;RIGHT("0"&amp;MONTH(IF(O134="",TODAY()+3,O134)),2)&amp;RIGHT("0"&amp;DAY(IF(O134="",TODAY()+3,O134)),2)&amp;"/"&amp;YEAR(IF(O134="",TODAY()+4,O134+1))&amp;RIGHT("0"&amp;MONTH(IF(O134="",TODAY()+4,O134+1)),2)&amp;RIGHT("0"&amp;DAY(IF(O134="",TODAY()+4,O134+1)),2),"📅 Agendar"))</f>
        <v/>
      </c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9" t="n"/>
      <c r="L135" s="19" t="n"/>
      <c r="M135" s="18" t="n"/>
      <c r="N135" s="18" t="n"/>
      <c r="O135" s="19" t="n"/>
      <c r="P135" s="18">
        <f>IF(L135="","",TODAY()-L135)</f>
        <v/>
      </c>
      <c r="Q135" s="18" t="n"/>
      <c r="R135" s="18" t="n"/>
      <c r="S135" s="18" t="n"/>
      <c r="T135" s="18" t="n"/>
      <c r="U135" s="18" t="n"/>
      <c r="V135" s="20">
        <f>IF(A135="","",HYPERLINK("https://calendar.google.com/calendar/render?action=TEMPLATE&amp;text="&amp;"Racksa%3A%20"&amp;SUBSTITUTE(SUBSTITUTE(SUBSTITUTE(LEFT(B135,45),"&amp;","y")," ","%20"),"#","")&amp;"%20-%20seguimiento"&amp;"&amp;dates="&amp;YEAR(IF(O135="",TODAY()+3,O135))&amp;RIGHT("0"&amp;MONTH(IF(O135="",TODAY()+3,O135)),2)&amp;RIGHT("0"&amp;DAY(IF(O135="",TODAY()+3,O135)),2)&amp;"/"&amp;YEAR(IF(O135="",TODAY()+4,O135+1))&amp;RIGHT("0"&amp;MONTH(IF(O135="",TODAY()+4,O135+1)),2)&amp;RIGHT("0"&amp;DAY(IF(O135="",TODAY()+4,O135+1)),2),"📅 Agendar"))</f>
        <v/>
      </c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9" t="n"/>
      <c r="L136" s="19" t="n"/>
      <c r="M136" s="18" t="n"/>
      <c r="N136" s="18" t="n"/>
      <c r="O136" s="19" t="n"/>
      <c r="P136" s="18">
        <f>IF(L136="","",TODAY()-L136)</f>
        <v/>
      </c>
      <c r="Q136" s="18" t="n"/>
      <c r="R136" s="18" t="n"/>
      <c r="S136" s="18" t="n"/>
      <c r="T136" s="18" t="n"/>
      <c r="U136" s="18" t="n"/>
      <c r="V136" s="20">
        <f>IF(A136="","",HYPERLINK("https://calendar.google.com/calendar/render?action=TEMPLATE&amp;text="&amp;"Racksa%3A%20"&amp;SUBSTITUTE(SUBSTITUTE(SUBSTITUTE(LEFT(B136,45),"&amp;","y")," ","%20"),"#","")&amp;"%20-%20seguimiento"&amp;"&amp;dates="&amp;YEAR(IF(O136="",TODAY()+3,O136))&amp;RIGHT("0"&amp;MONTH(IF(O136="",TODAY()+3,O136)),2)&amp;RIGHT("0"&amp;DAY(IF(O136="",TODAY()+3,O136)),2)&amp;"/"&amp;YEAR(IF(O136="",TODAY()+4,O136+1))&amp;RIGHT("0"&amp;MONTH(IF(O136="",TODAY()+4,O136+1)),2)&amp;RIGHT("0"&amp;DAY(IF(O136="",TODAY()+4,O136+1)),2),"📅 Agendar"))</f>
        <v/>
      </c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9" t="n"/>
      <c r="L137" s="19" t="n"/>
      <c r="M137" s="18" t="n"/>
      <c r="N137" s="18" t="n"/>
      <c r="O137" s="19" t="n"/>
      <c r="P137" s="18">
        <f>IF(L137="","",TODAY()-L137)</f>
        <v/>
      </c>
      <c r="Q137" s="18" t="n"/>
      <c r="R137" s="18" t="n"/>
      <c r="S137" s="18" t="n"/>
      <c r="T137" s="18" t="n"/>
      <c r="U137" s="18" t="n"/>
      <c r="V137" s="20">
        <f>IF(A137="","",HYPERLINK("https://calendar.google.com/calendar/render?action=TEMPLATE&amp;text="&amp;"Racksa%3A%20"&amp;SUBSTITUTE(SUBSTITUTE(SUBSTITUTE(LEFT(B137,45),"&amp;","y")," ","%20"),"#","")&amp;"%20-%20seguimiento"&amp;"&amp;dates="&amp;YEAR(IF(O137="",TODAY()+3,O137))&amp;RIGHT("0"&amp;MONTH(IF(O137="",TODAY()+3,O137)),2)&amp;RIGHT("0"&amp;DAY(IF(O137="",TODAY()+3,O137)),2)&amp;"/"&amp;YEAR(IF(O137="",TODAY()+4,O137+1))&amp;RIGHT("0"&amp;MONTH(IF(O137="",TODAY()+4,O137+1)),2)&amp;RIGHT("0"&amp;DAY(IF(O137="",TODAY()+4,O137+1)),2),"📅 Agendar"))</f>
        <v/>
      </c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9" t="n"/>
      <c r="L138" s="19" t="n"/>
      <c r="M138" s="18" t="n"/>
      <c r="N138" s="18" t="n"/>
      <c r="O138" s="19" t="n"/>
      <c r="P138" s="18">
        <f>IF(L138="","",TODAY()-L138)</f>
        <v/>
      </c>
      <c r="Q138" s="18" t="n"/>
      <c r="R138" s="18" t="n"/>
      <c r="S138" s="18" t="n"/>
      <c r="T138" s="18" t="n"/>
      <c r="U138" s="18" t="n"/>
      <c r="V138" s="20">
        <f>IF(A138="","",HYPERLINK("https://calendar.google.com/calendar/render?action=TEMPLATE&amp;text="&amp;"Racksa%3A%20"&amp;SUBSTITUTE(SUBSTITUTE(SUBSTITUTE(LEFT(B138,45),"&amp;","y")," ","%20"),"#","")&amp;"%20-%20seguimiento"&amp;"&amp;dates="&amp;YEAR(IF(O138="",TODAY()+3,O138))&amp;RIGHT("0"&amp;MONTH(IF(O138="",TODAY()+3,O138)),2)&amp;RIGHT("0"&amp;DAY(IF(O138="",TODAY()+3,O138)),2)&amp;"/"&amp;YEAR(IF(O138="",TODAY()+4,O138+1))&amp;RIGHT("0"&amp;MONTH(IF(O138="",TODAY()+4,O138+1)),2)&amp;RIGHT("0"&amp;DAY(IF(O138="",TODAY()+4,O138+1)),2),"📅 Agendar"))</f>
        <v/>
      </c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9" t="n"/>
      <c r="L139" s="19" t="n"/>
      <c r="M139" s="18" t="n"/>
      <c r="N139" s="18" t="n"/>
      <c r="O139" s="19" t="n"/>
      <c r="P139" s="18">
        <f>IF(L139="","",TODAY()-L139)</f>
        <v/>
      </c>
      <c r="Q139" s="18" t="n"/>
      <c r="R139" s="18" t="n"/>
      <c r="S139" s="18" t="n"/>
      <c r="T139" s="18" t="n"/>
      <c r="U139" s="18" t="n"/>
      <c r="V139" s="20">
        <f>IF(A139="","",HYPERLINK("https://calendar.google.com/calendar/render?action=TEMPLATE&amp;text="&amp;"Racksa%3A%20"&amp;SUBSTITUTE(SUBSTITUTE(SUBSTITUTE(LEFT(B139,45),"&amp;","y")," ","%20"),"#","")&amp;"%20-%20seguimiento"&amp;"&amp;dates="&amp;YEAR(IF(O139="",TODAY()+3,O139))&amp;RIGHT("0"&amp;MONTH(IF(O139="",TODAY()+3,O139)),2)&amp;RIGHT("0"&amp;DAY(IF(O139="",TODAY()+3,O139)),2)&amp;"/"&amp;YEAR(IF(O139="",TODAY()+4,O139+1))&amp;RIGHT("0"&amp;MONTH(IF(O139="",TODAY()+4,O139+1)),2)&amp;RIGHT("0"&amp;DAY(IF(O139="",TODAY()+4,O139+1)),2),"📅 Agendar"))</f>
        <v/>
      </c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9" t="n"/>
      <c r="L140" s="19" t="n"/>
      <c r="M140" s="18" t="n"/>
      <c r="N140" s="18" t="n"/>
      <c r="O140" s="19" t="n"/>
      <c r="P140" s="18">
        <f>IF(L140="","",TODAY()-L140)</f>
        <v/>
      </c>
      <c r="Q140" s="18" t="n"/>
      <c r="R140" s="18" t="n"/>
      <c r="S140" s="18" t="n"/>
      <c r="T140" s="18" t="n"/>
      <c r="U140" s="18" t="n"/>
      <c r="V140" s="20">
        <f>IF(A140="","",HYPERLINK("https://calendar.google.com/calendar/render?action=TEMPLATE&amp;text="&amp;"Racksa%3A%20"&amp;SUBSTITUTE(SUBSTITUTE(SUBSTITUTE(LEFT(B140,45),"&amp;","y")," ","%20"),"#","")&amp;"%20-%20seguimiento"&amp;"&amp;dates="&amp;YEAR(IF(O140="",TODAY()+3,O140))&amp;RIGHT("0"&amp;MONTH(IF(O140="",TODAY()+3,O140)),2)&amp;RIGHT("0"&amp;DAY(IF(O140="",TODAY()+3,O140)),2)&amp;"/"&amp;YEAR(IF(O140="",TODAY()+4,O140+1))&amp;RIGHT("0"&amp;MONTH(IF(O140="",TODAY()+4,O140+1)),2)&amp;RIGHT("0"&amp;DAY(IF(O140="",TODAY()+4,O140+1)),2),"📅 Agendar"))</f>
        <v/>
      </c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9" t="n"/>
      <c r="L141" s="19" t="n"/>
      <c r="M141" s="18" t="n"/>
      <c r="N141" s="18" t="n"/>
      <c r="O141" s="19" t="n"/>
      <c r="P141" s="18">
        <f>IF(L141="","",TODAY()-L141)</f>
        <v/>
      </c>
      <c r="Q141" s="18" t="n"/>
      <c r="R141" s="18" t="n"/>
      <c r="S141" s="18" t="n"/>
      <c r="T141" s="18" t="n"/>
      <c r="U141" s="18" t="n"/>
      <c r="V141" s="20">
        <f>IF(A141="","",HYPERLINK("https://calendar.google.com/calendar/render?action=TEMPLATE&amp;text="&amp;"Racksa%3A%20"&amp;SUBSTITUTE(SUBSTITUTE(SUBSTITUTE(LEFT(B141,45),"&amp;","y")," ","%20"),"#","")&amp;"%20-%20seguimiento"&amp;"&amp;dates="&amp;YEAR(IF(O141="",TODAY()+3,O141))&amp;RIGHT("0"&amp;MONTH(IF(O141="",TODAY()+3,O141)),2)&amp;RIGHT("0"&amp;DAY(IF(O141="",TODAY()+3,O141)),2)&amp;"/"&amp;YEAR(IF(O141="",TODAY()+4,O141+1))&amp;RIGHT("0"&amp;MONTH(IF(O141="",TODAY()+4,O141+1)),2)&amp;RIGHT("0"&amp;DAY(IF(O141="",TODAY()+4,O141+1)),2),"📅 Agendar"))</f>
        <v/>
      </c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9" t="n"/>
      <c r="L142" s="19" t="n"/>
      <c r="M142" s="18" t="n"/>
      <c r="N142" s="18" t="n"/>
      <c r="O142" s="19" t="n"/>
      <c r="P142" s="18">
        <f>IF(L142="","",TODAY()-L142)</f>
        <v/>
      </c>
      <c r="Q142" s="18" t="n"/>
      <c r="R142" s="18" t="n"/>
      <c r="S142" s="18" t="n"/>
      <c r="T142" s="18" t="n"/>
      <c r="U142" s="18" t="n"/>
      <c r="V142" s="20">
        <f>IF(A142="","",HYPERLINK("https://calendar.google.com/calendar/render?action=TEMPLATE&amp;text="&amp;"Racksa%3A%20"&amp;SUBSTITUTE(SUBSTITUTE(SUBSTITUTE(LEFT(B142,45),"&amp;","y")," ","%20"),"#","")&amp;"%20-%20seguimiento"&amp;"&amp;dates="&amp;YEAR(IF(O142="",TODAY()+3,O142))&amp;RIGHT("0"&amp;MONTH(IF(O142="",TODAY()+3,O142)),2)&amp;RIGHT("0"&amp;DAY(IF(O142="",TODAY()+3,O142)),2)&amp;"/"&amp;YEAR(IF(O142="",TODAY()+4,O142+1))&amp;RIGHT("0"&amp;MONTH(IF(O142="",TODAY()+4,O142+1)),2)&amp;RIGHT("0"&amp;DAY(IF(O142="",TODAY()+4,O142+1)),2),"📅 Agendar"))</f>
        <v/>
      </c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9" t="n"/>
      <c r="L143" s="19" t="n"/>
      <c r="M143" s="18" t="n"/>
      <c r="N143" s="18" t="n"/>
      <c r="O143" s="19" t="n"/>
      <c r="P143" s="18">
        <f>IF(L143="","",TODAY()-L143)</f>
        <v/>
      </c>
      <c r="Q143" s="18" t="n"/>
      <c r="R143" s="18" t="n"/>
      <c r="S143" s="18" t="n"/>
      <c r="T143" s="18" t="n"/>
      <c r="U143" s="18" t="n"/>
      <c r="V143" s="20">
        <f>IF(A143="","",HYPERLINK("https://calendar.google.com/calendar/render?action=TEMPLATE&amp;text="&amp;"Racksa%3A%20"&amp;SUBSTITUTE(SUBSTITUTE(SUBSTITUTE(LEFT(B143,45),"&amp;","y")," ","%20"),"#","")&amp;"%20-%20seguimiento"&amp;"&amp;dates="&amp;YEAR(IF(O143="",TODAY()+3,O143))&amp;RIGHT("0"&amp;MONTH(IF(O143="",TODAY()+3,O143)),2)&amp;RIGHT("0"&amp;DAY(IF(O143="",TODAY()+3,O143)),2)&amp;"/"&amp;YEAR(IF(O143="",TODAY()+4,O143+1))&amp;RIGHT("0"&amp;MONTH(IF(O143="",TODAY()+4,O143+1)),2)&amp;RIGHT("0"&amp;DAY(IF(O143="",TODAY()+4,O143+1)),2),"📅 Agendar"))</f>
        <v/>
      </c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9" t="n"/>
      <c r="L144" s="19" t="n"/>
      <c r="M144" s="18" t="n"/>
      <c r="N144" s="18" t="n"/>
      <c r="O144" s="19" t="n"/>
      <c r="P144" s="18">
        <f>IF(L144="","",TODAY()-L144)</f>
        <v/>
      </c>
      <c r="Q144" s="18" t="n"/>
      <c r="R144" s="18" t="n"/>
      <c r="S144" s="18" t="n"/>
      <c r="T144" s="18" t="n"/>
      <c r="U144" s="18" t="n"/>
      <c r="V144" s="20">
        <f>IF(A144="","",HYPERLINK("https://calendar.google.com/calendar/render?action=TEMPLATE&amp;text="&amp;"Racksa%3A%20"&amp;SUBSTITUTE(SUBSTITUTE(SUBSTITUTE(LEFT(B144,45),"&amp;","y")," ","%20"),"#","")&amp;"%20-%20seguimiento"&amp;"&amp;dates="&amp;YEAR(IF(O144="",TODAY()+3,O144))&amp;RIGHT("0"&amp;MONTH(IF(O144="",TODAY()+3,O144)),2)&amp;RIGHT("0"&amp;DAY(IF(O144="",TODAY()+3,O144)),2)&amp;"/"&amp;YEAR(IF(O144="",TODAY()+4,O144+1))&amp;RIGHT("0"&amp;MONTH(IF(O144="",TODAY()+4,O144+1)),2)&amp;RIGHT("0"&amp;DAY(IF(O144="",TODAY()+4,O144+1)),2),"📅 Agendar"))</f>
        <v/>
      </c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9" t="n"/>
      <c r="L145" s="19" t="n"/>
      <c r="M145" s="18" t="n"/>
      <c r="N145" s="18" t="n"/>
      <c r="O145" s="19" t="n"/>
      <c r="P145" s="18">
        <f>IF(L145="","",TODAY()-L145)</f>
        <v/>
      </c>
      <c r="Q145" s="18" t="n"/>
      <c r="R145" s="18" t="n"/>
      <c r="S145" s="18" t="n"/>
      <c r="T145" s="18" t="n"/>
      <c r="U145" s="18" t="n"/>
      <c r="V145" s="20">
        <f>IF(A145="","",HYPERLINK("https://calendar.google.com/calendar/render?action=TEMPLATE&amp;text="&amp;"Racksa%3A%20"&amp;SUBSTITUTE(SUBSTITUTE(SUBSTITUTE(LEFT(B145,45),"&amp;","y")," ","%20"),"#","")&amp;"%20-%20seguimiento"&amp;"&amp;dates="&amp;YEAR(IF(O145="",TODAY()+3,O145))&amp;RIGHT("0"&amp;MONTH(IF(O145="",TODAY()+3,O145)),2)&amp;RIGHT("0"&amp;DAY(IF(O145="",TODAY()+3,O145)),2)&amp;"/"&amp;YEAR(IF(O145="",TODAY()+4,O145+1))&amp;RIGHT("0"&amp;MONTH(IF(O145="",TODAY()+4,O145+1)),2)&amp;RIGHT("0"&amp;DAY(IF(O145="",TODAY()+4,O145+1)),2),"📅 Agendar"))</f>
        <v/>
      </c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9" t="n"/>
      <c r="L146" s="19" t="n"/>
      <c r="M146" s="18" t="n"/>
      <c r="N146" s="18" t="n"/>
      <c r="O146" s="19" t="n"/>
      <c r="P146" s="18">
        <f>IF(L146="","",TODAY()-L146)</f>
        <v/>
      </c>
      <c r="Q146" s="18" t="n"/>
      <c r="R146" s="18" t="n"/>
      <c r="S146" s="18" t="n"/>
      <c r="T146" s="18" t="n"/>
      <c r="U146" s="18" t="n"/>
      <c r="V146" s="20">
        <f>IF(A146="","",HYPERLINK("https://calendar.google.com/calendar/render?action=TEMPLATE&amp;text="&amp;"Racksa%3A%20"&amp;SUBSTITUTE(SUBSTITUTE(SUBSTITUTE(LEFT(B146,45),"&amp;","y")," ","%20"),"#","")&amp;"%20-%20seguimiento"&amp;"&amp;dates="&amp;YEAR(IF(O146="",TODAY()+3,O146))&amp;RIGHT("0"&amp;MONTH(IF(O146="",TODAY()+3,O146)),2)&amp;RIGHT("0"&amp;DAY(IF(O146="",TODAY()+3,O146)),2)&amp;"/"&amp;YEAR(IF(O146="",TODAY()+4,O146+1))&amp;RIGHT("0"&amp;MONTH(IF(O146="",TODAY()+4,O146+1)),2)&amp;RIGHT("0"&amp;DAY(IF(O146="",TODAY()+4,O146+1)),2),"📅 Agendar"))</f>
        <v/>
      </c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9" t="n"/>
      <c r="L147" s="19" t="n"/>
      <c r="M147" s="18" t="n"/>
      <c r="N147" s="18" t="n"/>
      <c r="O147" s="19" t="n"/>
      <c r="P147" s="18">
        <f>IF(L147="","",TODAY()-L147)</f>
        <v/>
      </c>
      <c r="Q147" s="18" t="n"/>
      <c r="R147" s="18" t="n"/>
      <c r="S147" s="18" t="n"/>
      <c r="T147" s="18" t="n"/>
      <c r="U147" s="18" t="n"/>
      <c r="V147" s="20">
        <f>IF(A147="","",HYPERLINK("https://calendar.google.com/calendar/render?action=TEMPLATE&amp;text="&amp;"Racksa%3A%20"&amp;SUBSTITUTE(SUBSTITUTE(SUBSTITUTE(LEFT(B147,45),"&amp;","y")," ","%20"),"#","")&amp;"%20-%20seguimiento"&amp;"&amp;dates="&amp;YEAR(IF(O147="",TODAY()+3,O147))&amp;RIGHT("0"&amp;MONTH(IF(O147="",TODAY()+3,O147)),2)&amp;RIGHT("0"&amp;DAY(IF(O147="",TODAY()+3,O147)),2)&amp;"/"&amp;YEAR(IF(O147="",TODAY()+4,O147+1))&amp;RIGHT("0"&amp;MONTH(IF(O147="",TODAY()+4,O147+1)),2)&amp;RIGHT("0"&amp;DAY(IF(O147="",TODAY()+4,O147+1)),2),"📅 Agendar"))</f>
        <v/>
      </c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9" t="n"/>
      <c r="L148" s="19" t="n"/>
      <c r="M148" s="18" t="n"/>
      <c r="N148" s="18" t="n"/>
      <c r="O148" s="19" t="n"/>
      <c r="P148" s="18">
        <f>IF(L148="","",TODAY()-L148)</f>
        <v/>
      </c>
      <c r="Q148" s="18" t="n"/>
      <c r="R148" s="18" t="n"/>
      <c r="S148" s="18" t="n"/>
      <c r="T148" s="18" t="n"/>
      <c r="U148" s="18" t="n"/>
      <c r="V148" s="20">
        <f>IF(A148="","",HYPERLINK("https://calendar.google.com/calendar/render?action=TEMPLATE&amp;text="&amp;"Racksa%3A%20"&amp;SUBSTITUTE(SUBSTITUTE(SUBSTITUTE(LEFT(B148,45),"&amp;","y")," ","%20"),"#","")&amp;"%20-%20seguimiento"&amp;"&amp;dates="&amp;YEAR(IF(O148="",TODAY()+3,O148))&amp;RIGHT("0"&amp;MONTH(IF(O148="",TODAY()+3,O148)),2)&amp;RIGHT("0"&amp;DAY(IF(O148="",TODAY()+3,O148)),2)&amp;"/"&amp;YEAR(IF(O148="",TODAY()+4,O148+1))&amp;RIGHT("0"&amp;MONTH(IF(O148="",TODAY()+4,O148+1)),2)&amp;RIGHT("0"&amp;DAY(IF(O148="",TODAY()+4,O148+1)),2),"📅 Agendar"))</f>
        <v/>
      </c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9" t="n"/>
      <c r="L149" s="19" t="n"/>
      <c r="M149" s="18" t="n"/>
      <c r="N149" s="18" t="n"/>
      <c r="O149" s="19" t="n"/>
      <c r="P149" s="18">
        <f>IF(L149="","",TODAY()-L149)</f>
        <v/>
      </c>
      <c r="Q149" s="18" t="n"/>
      <c r="R149" s="18" t="n"/>
      <c r="S149" s="18" t="n"/>
      <c r="T149" s="18" t="n"/>
      <c r="U149" s="18" t="n"/>
      <c r="V149" s="20">
        <f>IF(A149="","",HYPERLINK("https://calendar.google.com/calendar/render?action=TEMPLATE&amp;text="&amp;"Racksa%3A%20"&amp;SUBSTITUTE(SUBSTITUTE(SUBSTITUTE(LEFT(B149,45),"&amp;","y")," ","%20"),"#","")&amp;"%20-%20seguimiento"&amp;"&amp;dates="&amp;YEAR(IF(O149="",TODAY()+3,O149))&amp;RIGHT("0"&amp;MONTH(IF(O149="",TODAY()+3,O149)),2)&amp;RIGHT("0"&amp;DAY(IF(O149="",TODAY()+3,O149)),2)&amp;"/"&amp;YEAR(IF(O149="",TODAY()+4,O149+1))&amp;RIGHT("0"&amp;MONTH(IF(O149="",TODAY()+4,O149+1)),2)&amp;RIGHT("0"&amp;DAY(IF(O149="",TODAY()+4,O149+1)),2),"📅 Agendar"))</f>
        <v/>
      </c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9" t="n"/>
      <c r="L150" s="19" t="n"/>
      <c r="M150" s="18" t="n"/>
      <c r="N150" s="18" t="n"/>
      <c r="O150" s="19" t="n"/>
      <c r="P150" s="18">
        <f>IF(L150="","",TODAY()-L150)</f>
        <v/>
      </c>
      <c r="Q150" s="18" t="n"/>
      <c r="R150" s="18" t="n"/>
      <c r="S150" s="18" t="n"/>
      <c r="T150" s="18" t="n"/>
      <c r="U150" s="18" t="n"/>
      <c r="V150" s="20">
        <f>IF(A150="","",HYPERLINK("https://calendar.google.com/calendar/render?action=TEMPLATE&amp;text="&amp;"Racksa%3A%20"&amp;SUBSTITUTE(SUBSTITUTE(SUBSTITUTE(LEFT(B150,45),"&amp;","y")," ","%20"),"#","")&amp;"%20-%20seguimiento"&amp;"&amp;dates="&amp;YEAR(IF(O150="",TODAY()+3,O150))&amp;RIGHT("0"&amp;MONTH(IF(O150="",TODAY()+3,O150)),2)&amp;RIGHT("0"&amp;DAY(IF(O150="",TODAY()+3,O150)),2)&amp;"/"&amp;YEAR(IF(O150="",TODAY()+4,O150+1))&amp;RIGHT("0"&amp;MONTH(IF(O150="",TODAY()+4,O150+1)),2)&amp;RIGHT("0"&amp;DAY(IF(O150="",TODAY()+4,O150+1)),2),"📅 Agendar"))</f>
        <v/>
      </c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9" t="n"/>
      <c r="L151" s="19" t="n"/>
      <c r="M151" s="18" t="n"/>
      <c r="N151" s="18" t="n"/>
      <c r="O151" s="19" t="n"/>
      <c r="P151" s="18">
        <f>IF(L151="","",TODAY()-L151)</f>
        <v/>
      </c>
      <c r="Q151" s="18" t="n"/>
      <c r="R151" s="18" t="n"/>
      <c r="S151" s="18" t="n"/>
      <c r="T151" s="18" t="n"/>
      <c r="U151" s="18" t="n"/>
      <c r="V151" s="20">
        <f>IF(A151="","",HYPERLINK("https://calendar.google.com/calendar/render?action=TEMPLATE&amp;text="&amp;"Racksa%3A%20"&amp;SUBSTITUTE(SUBSTITUTE(SUBSTITUTE(LEFT(B151,45),"&amp;","y")," ","%20"),"#","")&amp;"%20-%20seguimiento"&amp;"&amp;dates="&amp;YEAR(IF(O151="",TODAY()+3,O151))&amp;RIGHT("0"&amp;MONTH(IF(O151="",TODAY()+3,O151)),2)&amp;RIGHT("0"&amp;DAY(IF(O151="",TODAY()+3,O151)),2)&amp;"/"&amp;YEAR(IF(O151="",TODAY()+4,O151+1))&amp;RIGHT("0"&amp;MONTH(IF(O151="",TODAY()+4,O151+1)),2)&amp;RIGHT("0"&amp;DAY(IF(O151="",TODAY()+4,O151+1)),2),"📅 Agendar"))</f>
        <v/>
      </c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9" t="n"/>
      <c r="L152" s="19" t="n"/>
      <c r="M152" s="18" t="n"/>
      <c r="N152" s="18" t="n"/>
      <c r="O152" s="19" t="n"/>
      <c r="P152" s="18">
        <f>IF(L152="","",TODAY()-L152)</f>
        <v/>
      </c>
      <c r="Q152" s="18" t="n"/>
      <c r="R152" s="18" t="n"/>
      <c r="S152" s="18" t="n"/>
      <c r="T152" s="18" t="n"/>
      <c r="U152" s="18" t="n"/>
      <c r="V152" s="20">
        <f>IF(A152="","",HYPERLINK("https://calendar.google.com/calendar/render?action=TEMPLATE&amp;text="&amp;"Racksa%3A%20"&amp;SUBSTITUTE(SUBSTITUTE(SUBSTITUTE(LEFT(B152,45),"&amp;","y")," ","%20"),"#","")&amp;"%20-%20seguimiento"&amp;"&amp;dates="&amp;YEAR(IF(O152="",TODAY()+3,O152))&amp;RIGHT("0"&amp;MONTH(IF(O152="",TODAY()+3,O152)),2)&amp;RIGHT("0"&amp;DAY(IF(O152="",TODAY()+3,O152)),2)&amp;"/"&amp;YEAR(IF(O152="",TODAY()+4,O152+1))&amp;RIGHT("0"&amp;MONTH(IF(O152="",TODAY()+4,O152+1)),2)&amp;RIGHT("0"&amp;DAY(IF(O152="",TODAY()+4,O152+1)),2),"📅 Agendar"))</f>
        <v/>
      </c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9" t="n"/>
      <c r="L153" s="19" t="n"/>
      <c r="M153" s="18" t="n"/>
      <c r="N153" s="18" t="n"/>
      <c r="O153" s="19" t="n"/>
      <c r="P153" s="18">
        <f>IF(L153="","",TODAY()-L153)</f>
        <v/>
      </c>
      <c r="Q153" s="18" t="n"/>
      <c r="R153" s="18" t="n"/>
      <c r="S153" s="18" t="n"/>
      <c r="T153" s="18" t="n"/>
      <c r="U153" s="18" t="n"/>
      <c r="V153" s="20">
        <f>IF(A153="","",HYPERLINK("https://calendar.google.com/calendar/render?action=TEMPLATE&amp;text="&amp;"Racksa%3A%20"&amp;SUBSTITUTE(SUBSTITUTE(SUBSTITUTE(LEFT(B153,45),"&amp;","y")," ","%20"),"#","")&amp;"%20-%20seguimiento"&amp;"&amp;dates="&amp;YEAR(IF(O153="",TODAY()+3,O153))&amp;RIGHT("0"&amp;MONTH(IF(O153="",TODAY()+3,O153)),2)&amp;RIGHT("0"&amp;DAY(IF(O153="",TODAY()+3,O153)),2)&amp;"/"&amp;YEAR(IF(O153="",TODAY()+4,O153+1))&amp;RIGHT("0"&amp;MONTH(IF(O153="",TODAY()+4,O153+1)),2)&amp;RIGHT("0"&amp;DAY(IF(O153="",TODAY()+4,O153+1)),2),"📅 Agendar"))</f>
        <v/>
      </c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9" t="n"/>
      <c r="L154" s="19" t="n"/>
      <c r="M154" s="18" t="n"/>
      <c r="N154" s="18" t="n"/>
      <c r="O154" s="19" t="n"/>
      <c r="P154" s="18">
        <f>IF(L154="","",TODAY()-L154)</f>
        <v/>
      </c>
      <c r="Q154" s="18" t="n"/>
      <c r="R154" s="18" t="n"/>
      <c r="S154" s="18" t="n"/>
      <c r="T154" s="18" t="n"/>
      <c r="U154" s="18" t="n"/>
      <c r="V154" s="20">
        <f>IF(A154="","",HYPERLINK("https://calendar.google.com/calendar/render?action=TEMPLATE&amp;text="&amp;"Racksa%3A%20"&amp;SUBSTITUTE(SUBSTITUTE(SUBSTITUTE(LEFT(B154,45),"&amp;","y")," ","%20"),"#","")&amp;"%20-%20seguimiento"&amp;"&amp;dates="&amp;YEAR(IF(O154="",TODAY()+3,O154))&amp;RIGHT("0"&amp;MONTH(IF(O154="",TODAY()+3,O154)),2)&amp;RIGHT("0"&amp;DAY(IF(O154="",TODAY()+3,O154)),2)&amp;"/"&amp;YEAR(IF(O154="",TODAY()+4,O154+1))&amp;RIGHT("0"&amp;MONTH(IF(O154="",TODAY()+4,O154+1)),2)&amp;RIGHT("0"&amp;DAY(IF(O154="",TODAY()+4,O154+1)),2),"📅 Agendar"))</f>
        <v/>
      </c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9" t="n"/>
      <c r="L155" s="19" t="n"/>
      <c r="M155" s="18" t="n"/>
      <c r="N155" s="18" t="n"/>
      <c r="O155" s="19" t="n"/>
      <c r="P155" s="18">
        <f>IF(L155="","",TODAY()-L155)</f>
        <v/>
      </c>
      <c r="Q155" s="18" t="n"/>
      <c r="R155" s="18" t="n"/>
      <c r="S155" s="18" t="n"/>
      <c r="T155" s="18" t="n"/>
      <c r="U155" s="18" t="n"/>
      <c r="V155" s="20">
        <f>IF(A155="","",HYPERLINK("https://calendar.google.com/calendar/render?action=TEMPLATE&amp;text="&amp;"Racksa%3A%20"&amp;SUBSTITUTE(SUBSTITUTE(SUBSTITUTE(LEFT(B155,45),"&amp;","y")," ","%20"),"#","")&amp;"%20-%20seguimiento"&amp;"&amp;dates="&amp;YEAR(IF(O155="",TODAY()+3,O155))&amp;RIGHT("0"&amp;MONTH(IF(O155="",TODAY()+3,O155)),2)&amp;RIGHT("0"&amp;DAY(IF(O155="",TODAY()+3,O155)),2)&amp;"/"&amp;YEAR(IF(O155="",TODAY()+4,O155+1))&amp;RIGHT("0"&amp;MONTH(IF(O155="",TODAY()+4,O155+1)),2)&amp;RIGHT("0"&amp;DAY(IF(O155="",TODAY()+4,O155+1)),2),"📅 Agendar"))</f>
        <v/>
      </c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9" t="n"/>
      <c r="L156" s="19" t="n"/>
      <c r="M156" s="18" t="n"/>
      <c r="N156" s="18" t="n"/>
      <c r="O156" s="19" t="n"/>
      <c r="P156" s="18">
        <f>IF(L156="","",TODAY()-L156)</f>
        <v/>
      </c>
      <c r="Q156" s="18" t="n"/>
      <c r="R156" s="18" t="n"/>
      <c r="S156" s="18" t="n"/>
      <c r="T156" s="18" t="n"/>
      <c r="U156" s="18" t="n"/>
      <c r="V156" s="20">
        <f>IF(A156="","",HYPERLINK("https://calendar.google.com/calendar/render?action=TEMPLATE&amp;text="&amp;"Racksa%3A%20"&amp;SUBSTITUTE(SUBSTITUTE(SUBSTITUTE(LEFT(B156,45),"&amp;","y")," ","%20"),"#","")&amp;"%20-%20seguimiento"&amp;"&amp;dates="&amp;YEAR(IF(O156="",TODAY()+3,O156))&amp;RIGHT("0"&amp;MONTH(IF(O156="",TODAY()+3,O156)),2)&amp;RIGHT("0"&amp;DAY(IF(O156="",TODAY()+3,O156)),2)&amp;"/"&amp;YEAR(IF(O156="",TODAY()+4,O156+1))&amp;RIGHT("0"&amp;MONTH(IF(O156="",TODAY()+4,O156+1)),2)&amp;RIGHT("0"&amp;DAY(IF(O156="",TODAY()+4,O156+1)),2),"📅 Agendar"))</f>
        <v/>
      </c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9" t="n"/>
      <c r="L157" s="19" t="n"/>
      <c r="M157" s="18" t="n"/>
      <c r="N157" s="18" t="n"/>
      <c r="O157" s="19" t="n"/>
      <c r="P157" s="18">
        <f>IF(L157="","",TODAY()-L157)</f>
        <v/>
      </c>
      <c r="Q157" s="18" t="n"/>
      <c r="R157" s="18" t="n"/>
      <c r="S157" s="18" t="n"/>
      <c r="T157" s="18" t="n"/>
      <c r="U157" s="18" t="n"/>
      <c r="V157" s="20">
        <f>IF(A157="","",HYPERLINK("https://calendar.google.com/calendar/render?action=TEMPLATE&amp;text="&amp;"Racksa%3A%20"&amp;SUBSTITUTE(SUBSTITUTE(SUBSTITUTE(LEFT(B157,45),"&amp;","y")," ","%20"),"#","")&amp;"%20-%20seguimiento"&amp;"&amp;dates="&amp;YEAR(IF(O157="",TODAY()+3,O157))&amp;RIGHT("0"&amp;MONTH(IF(O157="",TODAY()+3,O157)),2)&amp;RIGHT("0"&amp;DAY(IF(O157="",TODAY()+3,O157)),2)&amp;"/"&amp;YEAR(IF(O157="",TODAY()+4,O157+1))&amp;RIGHT("0"&amp;MONTH(IF(O157="",TODAY()+4,O157+1)),2)&amp;RIGHT("0"&amp;DAY(IF(O157="",TODAY()+4,O157+1)),2),"📅 Agendar"))</f>
        <v/>
      </c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9" t="n"/>
      <c r="L158" s="19" t="n"/>
      <c r="M158" s="18" t="n"/>
      <c r="N158" s="18" t="n"/>
      <c r="O158" s="19" t="n"/>
      <c r="P158" s="18">
        <f>IF(L158="","",TODAY()-L158)</f>
        <v/>
      </c>
      <c r="Q158" s="18" t="n"/>
      <c r="R158" s="18" t="n"/>
      <c r="S158" s="18" t="n"/>
      <c r="T158" s="18" t="n"/>
      <c r="U158" s="18" t="n"/>
      <c r="V158" s="20">
        <f>IF(A158="","",HYPERLINK("https://calendar.google.com/calendar/render?action=TEMPLATE&amp;text="&amp;"Racksa%3A%20"&amp;SUBSTITUTE(SUBSTITUTE(SUBSTITUTE(LEFT(B158,45),"&amp;","y")," ","%20"),"#","")&amp;"%20-%20seguimiento"&amp;"&amp;dates="&amp;YEAR(IF(O158="",TODAY()+3,O158))&amp;RIGHT("0"&amp;MONTH(IF(O158="",TODAY()+3,O158)),2)&amp;RIGHT("0"&amp;DAY(IF(O158="",TODAY()+3,O158)),2)&amp;"/"&amp;YEAR(IF(O158="",TODAY()+4,O158+1))&amp;RIGHT("0"&amp;MONTH(IF(O158="",TODAY()+4,O158+1)),2)&amp;RIGHT("0"&amp;DAY(IF(O158="",TODAY()+4,O158+1)),2),"📅 Agendar"))</f>
        <v/>
      </c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9" t="n"/>
      <c r="L159" s="19" t="n"/>
      <c r="M159" s="18" t="n"/>
      <c r="N159" s="18" t="n"/>
      <c r="O159" s="19" t="n"/>
      <c r="P159" s="18">
        <f>IF(L159="","",TODAY()-L159)</f>
        <v/>
      </c>
      <c r="Q159" s="18" t="n"/>
      <c r="R159" s="18" t="n"/>
      <c r="S159" s="18" t="n"/>
      <c r="T159" s="18" t="n"/>
      <c r="U159" s="18" t="n"/>
      <c r="V159" s="20">
        <f>IF(A159="","",HYPERLINK("https://calendar.google.com/calendar/render?action=TEMPLATE&amp;text="&amp;"Racksa%3A%20"&amp;SUBSTITUTE(SUBSTITUTE(SUBSTITUTE(LEFT(B159,45),"&amp;","y")," ","%20"),"#","")&amp;"%20-%20seguimiento"&amp;"&amp;dates="&amp;YEAR(IF(O159="",TODAY()+3,O159))&amp;RIGHT("0"&amp;MONTH(IF(O159="",TODAY()+3,O159)),2)&amp;RIGHT("0"&amp;DAY(IF(O159="",TODAY()+3,O159)),2)&amp;"/"&amp;YEAR(IF(O159="",TODAY()+4,O159+1))&amp;RIGHT("0"&amp;MONTH(IF(O159="",TODAY()+4,O159+1)),2)&amp;RIGHT("0"&amp;DAY(IF(O159="",TODAY()+4,O159+1)),2),"📅 Agendar"))</f>
        <v/>
      </c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9" t="n"/>
      <c r="L160" s="19" t="n"/>
      <c r="M160" s="18" t="n"/>
      <c r="N160" s="18" t="n"/>
      <c r="O160" s="19" t="n"/>
      <c r="P160" s="18">
        <f>IF(L160="","",TODAY()-L160)</f>
        <v/>
      </c>
      <c r="Q160" s="18" t="n"/>
      <c r="R160" s="18" t="n"/>
      <c r="S160" s="18" t="n"/>
      <c r="T160" s="18" t="n"/>
      <c r="U160" s="18" t="n"/>
      <c r="V160" s="20">
        <f>IF(A160="","",HYPERLINK("https://calendar.google.com/calendar/render?action=TEMPLATE&amp;text="&amp;"Racksa%3A%20"&amp;SUBSTITUTE(SUBSTITUTE(SUBSTITUTE(LEFT(B160,45),"&amp;","y")," ","%20"),"#","")&amp;"%20-%20seguimiento"&amp;"&amp;dates="&amp;YEAR(IF(O160="",TODAY()+3,O160))&amp;RIGHT("0"&amp;MONTH(IF(O160="",TODAY()+3,O160)),2)&amp;RIGHT("0"&amp;DAY(IF(O160="",TODAY()+3,O160)),2)&amp;"/"&amp;YEAR(IF(O160="",TODAY()+4,O160+1))&amp;RIGHT("0"&amp;MONTH(IF(O160="",TODAY()+4,O160+1)),2)&amp;RIGHT("0"&amp;DAY(IF(O160="",TODAY()+4,O160+1)),2),"📅 Agendar"))</f>
        <v/>
      </c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9" t="n"/>
      <c r="L161" s="19" t="n"/>
      <c r="M161" s="18" t="n"/>
      <c r="N161" s="18" t="n"/>
      <c r="O161" s="19" t="n"/>
      <c r="P161" s="18">
        <f>IF(L161="","",TODAY()-L161)</f>
        <v/>
      </c>
      <c r="Q161" s="18" t="n"/>
      <c r="R161" s="18" t="n"/>
      <c r="S161" s="18" t="n"/>
      <c r="T161" s="18" t="n"/>
      <c r="U161" s="18" t="n"/>
      <c r="V161" s="20">
        <f>IF(A161="","",HYPERLINK("https://calendar.google.com/calendar/render?action=TEMPLATE&amp;text="&amp;"Racksa%3A%20"&amp;SUBSTITUTE(SUBSTITUTE(SUBSTITUTE(LEFT(B161,45),"&amp;","y")," ","%20"),"#","")&amp;"%20-%20seguimiento"&amp;"&amp;dates="&amp;YEAR(IF(O161="",TODAY()+3,O161))&amp;RIGHT("0"&amp;MONTH(IF(O161="",TODAY()+3,O161)),2)&amp;RIGHT("0"&amp;DAY(IF(O161="",TODAY()+3,O161)),2)&amp;"/"&amp;YEAR(IF(O161="",TODAY()+4,O161+1))&amp;RIGHT("0"&amp;MONTH(IF(O161="",TODAY()+4,O161+1)),2)&amp;RIGHT("0"&amp;DAY(IF(O161="",TODAY()+4,O161+1)),2),"📅 Agendar"))</f>
        <v/>
      </c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9" t="n"/>
      <c r="L162" s="19" t="n"/>
      <c r="M162" s="18" t="n"/>
      <c r="N162" s="18" t="n"/>
      <c r="O162" s="19" t="n"/>
      <c r="P162" s="18">
        <f>IF(L162="","",TODAY()-L162)</f>
        <v/>
      </c>
      <c r="Q162" s="18" t="n"/>
      <c r="R162" s="18" t="n"/>
      <c r="S162" s="18" t="n"/>
      <c r="T162" s="18" t="n"/>
      <c r="U162" s="18" t="n"/>
      <c r="V162" s="20">
        <f>IF(A162="","",HYPERLINK("https://calendar.google.com/calendar/render?action=TEMPLATE&amp;text="&amp;"Racksa%3A%20"&amp;SUBSTITUTE(SUBSTITUTE(SUBSTITUTE(LEFT(B162,45),"&amp;","y")," ","%20"),"#","")&amp;"%20-%20seguimiento"&amp;"&amp;dates="&amp;YEAR(IF(O162="",TODAY()+3,O162))&amp;RIGHT("0"&amp;MONTH(IF(O162="",TODAY()+3,O162)),2)&amp;RIGHT("0"&amp;DAY(IF(O162="",TODAY()+3,O162)),2)&amp;"/"&amp;YEAR(IF(O162="",TODAY()+4,O162+1))&amp;RIGHT("0"&amp;MONTH(IF(O162="",TODAY()+4,O162+1)),2)&amp;RIGHT("0"&amp;DAY(IF(O162="",TODAY()+4,O162+1)),2),"📅 Agendar"))</f>
        <v/>
      </c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9" t="n"/>
      <c r="L163" s="19" t="n"/>
      <c r="M163" s="18" t="n"/>
      <c r="N163" s="18" t="n"/>
      <c r="O163" s="19" t="n"/>
      <c r="P163" s="18">
        <f>IF(L163="","",TODAY()-L163)</f>
        <v/>
      </c>
      <c r="Q163" s="18" t="n"/>
      <c r="R163" s="18" t="n"/>
      <c r="S163" s="18" t="n"/>
      <c r="T163" s="18" t="n"/>
      <c r="U163" s="18" t="n"/>
      <c r="V163" s="20">
        <f>IF(A163="","",HYPERLINK("https://calendar.google.com/calendar/render?action=TEMPLATE&amp;text="&amp;"Racksa%3A%20"&amp;SUBSTITUTE(SUBSTITUTE(SUBSTITUTE(LEFT(B163,45),"&amp;","y")," ","%20"),"#","")&amp;"%20-%20seguimiento"&amp;"&amp;dates="&amp;YEAR(IF(O163="",TODAY()+3,O163))&amp;RIGHT("0"&amp;MONTH(IF(O163="",TODAY()+3,O163)),2)&amp;RIGHT("0"&amp;DAY(IF(O163="",TODAY()+3,O163)),2)&amp;"/"&amp;YEAR(IF(O163="",TODAY()+4,O163+1))&amp;RIGHT("0"&amp;MONTH(IF(O163="",TODAY()+4,O163+1)),2)&amp;RIGHT("0"&amp;DAY(IF(O163="",TODAY()+4,O163+1)),2),"📅 Agendar"))</f>
        <v/>
      </c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9" t="n"/>
      <c r="L164" s="19" t="n"/>
      <c r="M164" s="18" t="n"/>
      <c r="N164" s="18" t="n"/>
      <c r="O164" s="19" t="n"/>
      <c r="P164" s="18">
        <f>IF(L164="","",TODAY()-L164)</f>
        <v/>
      </c>
      <c r="Q164" s="18" t="n"/>
      <c r="R164" s="18" t="n"/>
      <c r="S164" s="18" t="n"/>
      <c r="T164" s="18" t="n"/>
      <c r="U164" s="18" t="n"/>
      <c r="V164" s="20">
        <f>IF(A164="","",HYPERLINK("https://calendar.google.com/calendar/render?action=TEMPLATE&amp;text="&amp;"Racksa%3A%20"&amp;SUBSTITUTE(SUBSTITUTE(SUBSTITUTE(LEFT(B164,45),"&amp;","y")," ","%20"),"#","")&amp;"%20-%20seguimiento"&amp;"&amp;dates="&amp;YEAR(IF(O164="",TODAY()+3,O164))&amp;RIGHT("0"&amp;MONTH(IF(O164="",TODAY()+3,O164)),2)&amp;RIGHT("0"&amp;DAY(IF(O164="",TODAY()+3,O164)),2)&amp;"/"&amp;YEAR(IF(O164="",TODAY()+4,O164+1))&amp;RIGHT("0"&amp;MONTH(IF(O164="",TODAY()+4,O164+1)),2)&amp;RIGHT("0"&amp;DAY(IF(O164="",TODAY()+4,O164+1)),2),"📅 Agendar"))</f>
        <v/>
      </c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9" t="n"/>
      <c r="L165" s="19" t="n"/>
      <c r="M165" s="18" t="n"/>
      <c r="N165" s="18" t="n"/>
      <c r="O165" s="19" t="n"/>
      <c r="P165" s="18">
        <f>IF(L165="","",TODAY()-L165)</f>
        <v/>
      </c>
      <c r="Q165" s="18" t="n"/>
      <c r="R165" s="18" t="n"/>
      <c r="S165" s="18" t="n"/>
      <c r="T165" s="18" t="n"/>
      <c r="U165" s="18" t="n"/>
      <c r="V165" s="20">
        <f>IF(A165="","",HYPERLINK("https://calendar.google.com/calendar/render?action=TEMPLATE&amp;text="&amp;"Racksa%3A%20"&amp;SUBSTITUTE(SUBSTITUTE(SUBSTITUTE(LEFT(B165,45),"&amp;","y")," ","%20"),"#","")&amp;"%20-%20seguimiento"&amp;"&amp;dates="&amp;YEAR(IF(O165="",TODAY()+3,O165))&amp;RIGHT("0"&amp;MONTH(IF(O165="",TODAY()+3,O165)),2)&amp;RIGHT("0"&amp;DAY(IF(O165="",TODAY()+3,O165)),2)&amp;"/"&amp;YEAR(IF(O165="",TODAY()+4,O165+1))&amp;RIGHT("0"&amp;MONTH(IF(O165="",TODAY()+4,O165+1)),2)&amp;RIGHT("0"&amp;DAY(IF(O165="",TODAY()+4,O165+1)),2),"📅 Agendar"))</f>
        <v/>
      </c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9" t="n"/>
      <c r="L166" s="19" t="n"/>
      <c r="M166" s="18" t="n"/>
      <c r="N166" s="18" t="n"/>
      <c r="O166" s="19" t="n"/>
      <c r="P166" s="18">
        <f>IF(L166="","",TODAY()-L166)</f>
        <v/>
      </c>
      <c r="Q166" s="18" t="n"/>
      <c r="R166" s="18" t="n"/>
      <c r="S166" s="18" t="n"/>
      <c r="T166" s="18" t="n"/>
      <c r="U166" s="18" t="n"/>
      <c r="V166" s="20">
        <f>IF(A166="","",HYPERLINK("https://calendar.google.com/calendar/render?action=TEMPLATE&amp;text="&amp;"Racksa%3A%20"&amp;SUBSTITUTE(SUBSTITUTE(SUBSTITUTE(LEFT(B166,45),"&amp;","y")," ","%20"),"#","")&amp;"%20-%20seguimiento"&amp;"&amp;dates="&amp;YEAR(IF(O166="",TODAY()+3,O166))&amp;RIGHT("0"&amp;MONTH(IF(O166="",TODAY()+3,O166)),2)&amp;RIGHT("0"&amp;DAY(IF(O166="",TODAY()+3,O166)),2)&amp;"/"&amp;YEAR(IF(O166="",TODAY()+4,O166+1))&amp;RIGHT("0"&amp;MONTH(IF(O166="",TODAY()+4,O166+1)),2)&amp;RIGHT("0"&amp;DAY(IF(O166="",TODAY()+4,O166+1)),2),"📅 Agendar"))</f>
        <v/>
      </c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9" t="n"/>
      <c r="L167" s="19" t="n"/>
      <c r="M167" s="18" t="n"/>
      <c r="N167" s="18" t="n"/>
      <c r="O167" s="19" t="n"/>
      <c r="P167" s="18">
        <f>IF(L167="","",TODAY()-L167)</f>
        <v/>
      </c>
      <c r="Q167" s="18" t="n"/>
      <c r="R167" s="18" t="n"/>
      <c r="S167" s="18" t="n"/>
      <c r="T167" s="18" t="n"/>
      <c r="U167" s="18" t="n"/>
      <c r="V167" s="20">
        <f>IF(A167="","",HYPERLINK("https://calendar.google.com/calendar/render?action=TEMPLATE&amp;text="&amp;"Racksa%3A%20"&amp;SUBSTITUTE(SUBSTITUTE(SUBSTITUTE(LEFT(B167,45),"&amp;","y")," ","%20"),"#","")&amp;"%20-%20seguimiento"&amp;"&amp;dates="&amp;YEAR(IF(O167="",TODAY()+3,O167))&amp;RIGHT("0"&amp;MONTH(IF(O167="",TODAY()+3,O167)),2)&amp;RIGHT("0"&amp;DAY(IF(O167="",TODAY()+3,O167)),2)&amp;"/"&amp;YEAR(IF(O167="",TODAY()+4,O167+1))&amp;RIGHT("0"&amp;MONTH(IF(O167="",TODAY()+4,O167+1)),2)&amp;RIGHT("0"&amp;DAY(IF(O167="",TODAY()+4,O167+1)),2),"📅 Agendar"))</f>
        <v/>
      </c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9" t="n"/>
      <c r="L168" s="19" t="n"/>
      <c r="M168" s="18" t="n"/>
      <c r="N168" s="18" t="n"/>
      <c r="O168" s="19" t="n"/>
      <c r="P168" s="18">
        <f>IF(L168="","",TODAY()-L168)</f>
        <v/>
      </c>
      <c r="Q168" s="18" t="n"/>
      <c r="R168" s="18" t="n"/>
      <c r="S168" s="18" t="n"/>
      <c r="T168" s="18" t="n"/>
      <c r="U168" s="18" t="n"/>
      <c r="V168" s="20">
        <f>IF(A168="","",HYPERLINK("https://calendar.google.com/calendar/render?action=TEMPLATE&amp;text="&amp;"Racksa%3A%20"&amp;SUBSTITUTE(SUBSTITUTE(SUBSTITUTE(LEFT(B168,45),"&amp;","y")," ","%20"),"#","")&amp;"%20-%20seguimiento"&amp;"&amp;dates="&amp;YEAR(IF(O168="",TODAY()+3,O168))&amp;RIGHT("0"&amp;MONTH(IF(O168="",TODAY()+3,O168)),2)&amp;RIGHT("0"&amp;DAY(IF(O168="",TODAY()+3,O168)),2)&amp;"/"&amp;YEAR(IF(O168="",TODAY()+4,O168+1))&amp;RIGHT("0"&amp;MONTH(IF(O168="",TODAY()+4,O168+1)),2)&amp;RIGHT("0"&amp;DAY(IF(O168="",TODAY()+4,O168+1)),2),"📅 Agendar"))</f>
        <v/>
      </c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9" t="n"/>
      <c r="L169" s="19" t="n"/>
      <c r="M169" s="18" t="n"/>
      <c r="N169" s="18" t="n"/>
      <c r="O169" s="19" t="n"/>
      <c r="P169" s="18">
        <f>IF(L169="","",TODAY()-L169)</f>
        <v/>
      </c>
      <c r="Q169" s="18" t="n"/>
      <c r="R169" s="18" t="n"/>
      <c r="S169" s="18" t="n"/>
      <c r="T169" s="18" t="n"/>
      <c r="U169" s="18" t="n"/>
      <c r="V169" s="20">
        <f>IF(A169="","",HYPERLINK("https://calendar.google.com/calendar/render?action=TEMPLATE&amp;text="&amp;"Racksa%3A%20"&amp;SUBSTITUTE(SUBSTITUTE(SUBSTITUTE(LEFT(B169,45),"&amp;","y")," ","%20"),"#","")&amp;"%20-%20seguimiento"&amp;"&amp;dates="&amp;YEAR(IF(O169="",TODAY()+3,O169))&amp;RIGHT("0"&amp;MONTH(IF(O169="",TODAY()+3,O169)),2)&amp;RIGHT("0"&amp;DAY(IF(O169="",TODAY()+3,O169)),2)&amp;"/"&amp;YEAR(IF(O169="",TODAY()+4,O169+1))&amp;RIGHT("0"&amp;MONTH(IF(O169="",TODAY()+4,O169+1)),2)&amp;RIGHT("0"&amp;DAY(IF(O169="",TODAY()+4,O169+1)),2),"📅 Agendar"))</f>
        <v/>
      </c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9" t="n"/>
      <c r="L170" s="19" t="n"/>
      <c r="M170" s="18" t="n"/>
      <c r="N170" s="18" t="n"/>
      <c r="O170" s="19" t="n"/>
      <c r="P170" s="18">
        <f>IF(L170="","",TODAY()-L170)</f>
        <v/>
      </c>
      <c r="Q170" s="18" t="n"/>
      <c r="R170" s="18" t="n"/>
      <c r="S170" s="18" t="n"/>
      <c r="T170" s="18" t="n"/>
      <c r="U170" s="18" t="n"/>
      <c r="V170" s="20">
        <f>IF(A170="","",HYPERLINK("https://calendar.google.com/calendar/render?action=TEMPLATE&amp;text="&amp;"Racksa%3A%20"&amp;SUBSTITUTE(SUBSTITUTE(SUBSTITUTE(LEFT(B170,45),"&amp;","y")," ","%20"),"#","")&amp;"%20-%20seguimiento"&amp;"&amp;dates="&amp;YEAR(IF(O170="",TODAY()+3,O170))&amp;RIGHT("0"&amp;MONTH(IF(O170="",TODAY()+3,O170)),2)&amp;RIGHT("0"&amp;DAY(IF(O170="",TODAY()+3,O170)),2)&amp;"/"&amp;YEAR(IF(O170="",TODAY()+4,O170+1))&amp;RIGHT("0"&amp;MONTH(IF(O170="",TODAY()+4,O170+1)),2)&amp;RIGHT("0"&amp;DAY(IF(O170="",TODAY()+4,O170+1)),2),"📅 Agendar"))</f>
        <v/>
      </c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9" t="n"/>
      <c r="L171" s="19" t="n"/>
      <c r="M171" s="18" t="n"/>
      <c r="N171" s="18" t="n"/>
      <c r="O171" s="19" t="n"/>
      <c r="P171" s="18">
        <f>IF(L171="","",TODAY()-L171)</f>
        <v/>
      </c>
      <c r="Q171" s="18" t="n"/>
      <c r="R171" s="18" t="n"/>
      <c r="S171" s="18" t="n"/>
      <c r="T171" s="18" t="n"/>
      <c r="U171" s="18" t="n"/>
      <c r="V171" s="20">
        <f>IF(A171="","",HYPERLINK("https://calendar.google.com/calendar/render?action=TEMPLATE&amp;text="&amp;"Racksa%3A%20"&amp;SUBSTITUTE(SUBSTITUTE(SUBSTITUTE(LEFT(B171,45),"&amp;","y")," ","%20"),"#","")&amp;"%20-%20seguimiento"&amp;"&amp;dates="&amp;YEAR(IF(O171="",TODAY()+3,O171))&amp;RIGHT("0"&amp;MONTH(IF(O171="",TODAY()+3,O171)),2)&amp;RIGHT("0"&amp;DAY(IF(O171="",TODAY()+3,O171)),2)&amp;"/"&amp;YEAR(IF(O171="",TODAY()+4,O171+1))&amp;RIGHT("0"&amp;MONTH(IF(O171="",TODAY()+4,O171+1)),2)&amp;RIGHT("0"&amp;DAY(IF(O171="",TODAY()+4,O171+1)),2),"📅 Agendar"))</f>
        <v/>
      </c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9" t="n"/>
      <c r="L172" s="19" t="n"/>
      <c r="M172" s="18" t="n"/>
      <c r="N172" s="18" t="n"/>
      <c r="O172" s="19" t="n"/>
      <c r="P172" s="18">
        <f>IF(L172="","",TODAY()-L172)</f>
        <v/>
      </c>
      <c r="Q172" s="18" t="n"/>
      <c r="R172" s="18" t="n"/>
      <c r="S172" s="18" t="n"/>
      <c r="T172" s="18" t="n"/>
      <c r="U172" s="18" t="n"/>
      <c r="V172" s="20">
        <f>IF(A172="","",HYPERLINK("https://calendar.google.com/calendar/render?action=TEMPLATE&amp;text="&amp;"Racksa%3A%20"&amp;SUBSTITUTE(SUBSTITUTE(SUBSTITUTE(LEFT(B172,45),"&amp;","y")," ","%20"),"#","")&amp;"%20-%20seguimiento"&amp;"&amp;dates="&amp;YEAR(IF(O172="",TODAY()+3,O172))&amp;RIGHT("0"&amp;MONTH(IF(O172="",TODAY()+3,O172)),2)&amp;RIGHT("0"&amp;DAY(IF(O172="",TODAY()+3,O172)),2)&amp;"/"&amp;YEAR(IF(O172="",TODAY()+4,O172+1))&amp;RIGHT("0"&amp;MONTH(IF(O172="",TODAY()+4,O172+1)),2)&amp;RIGHT("0"&amp;DAY(IF(O172="",TODAY()+4,O172+1)),2),"📅 Agendar"))</f>
        <v/>
      </c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9" t="n"/>
      <c r="L173" s="19" t="n"/>
      <c r="M173" s="18" t="n"/>
      <c r="N173" s="18" t="n"/>
      <c r="O173" s="19" t="n"/>
      <c r="P173" s="18">
        <f>IF(L173="","",TODAY()-L173)</f>
        <v/>
      </c>
      <c r="Q173" s="18" t="n"/>
      <c r="R173" s="18" t="n"/>
      <c r="S173" s="18" t="n"/>
      <c r="T173" s="18" t="n"/>
      <c r="U173" s="18" t="n"/>
      <c r="V173" s="20">
        <f>IF(A173="","",HYPERLINK("https://calendar.google.com/calendar/render?action=TEMPLATE&amp;text="&amp;"Racksa%3A%20"&amp;SUBSTITUTE(SUBSTITUTE(SUBSTITUTE(LEFT(B173,45),"&amp;","y")," ","%20"),"#","")&amp;"%20-%20seguimiento"&amp;"&amp;dates="&amp;YEAR(IF(O173="",TODAY()+3,O173))&amp;RIGHT("0"&amp;MONTH(IF(O173="",TODAY()+3,O173)),2)&amp;RIGHT("0"&amp;DAY(IF(O173="",TODAY()+3,O173)),2)&amp;"/"&amp;YEAR(IF(O173="",TODAY()+4,O173+1))&amp;RIGHT("0"&amp;MONTH(IF(O173="",TODAY()+4,O173+1)),2)&amp;RIGHT("0"&amp;DAY(IF(O173="",TODAY()+4,O173+1)),2),"📅 Agendar"))</f>
        <v/>
      </c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9" t="n"/>
      <c r="L174" s="19" t="n"/>
      <c r="M174" s="18" t="n"/>
      <c r="N174" s="18" t="n"/>
      <c r="O174" s="19" t="n"/>
      <c r="P174" s="18">
        <f>IF(L174="","",TODAY()-L174)</f>
        <v/>
      </c>
      <c r="Q174" s="18" t="n"/>
      <c r="R174" s="18" t="n"/>
      <c r="S174" s="18" t="n"/>
      <c r="T174" s="18" t="n"/>
      <c r="U174" s="18" t="n"/>
      <c r="V174" s="20">
        <f>IF(A174="","",HYPERLINK("https://calendar.google.com/calendar/render?action=TEMPLATE&amp;text="&amp;"Racksa%3A%20"&amp;SUBSTITUTE(SUBSTITUTE(SUBSTITUTE(LEFT(B174,45),"&amp;","y")," ","%20"),"#","")&amp;"%20-%20seguimiento"&amp;"&amp;dates="&amp;YEAR(IF(O174="",TODAY()+3,O174))&amp;RIGHT("0"&amp;MONTH(IF(O174="",TODAY()+3,O174)),2)&amp;RIGHT("0"&amp;DAY(IF(O174="",TODAY()+3,O174)),2)&amp;"/"&amp;YEAR(IF(O174="",TODAY()+4,O174+1))&amp;RIGHT("0"&amp;MONTH(IF(O174="",TODAY()+4,O174+1)),2)&amp;RIGHT("0"&amp;DAY(IF(O174="",TODAY()+4,O174+1)),2),"📅 Agendar"))</f>
        <v/>
      </c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9" t="n"/>
      <c r="L175" s="19" t="n"/>
      <c r="M175" s="18" t="n"/>
      <c r="N175" s="18" t="n"/>
      <c r="O175" s="19" t="n"/>
      <c r="P175" s="18">
        <f>IF(L175="","",TODAY()-L175)</f>
        <v/>
      </c>
      <c r="Q175" s="18" t="n"/>
      <c r="R175" s="18" t="n"/>
      <c r="S175" s="18" t="n"/>
      <c r="T175" s="18" t="n"/>
      <c r="U175" s="18" t="n"/>
      <c r="V175" s="20">
        <f>IF(A175="","",HYPERLINK("https://calendar.google.com/calendar/render?action=TEMPLATE&amp;text="&amp;"Racksa%3A%20"&amp;SUBSTITUTE(SUBSTITUTE(SUBSTITUTE(LEFT(B175,45),"&amp;","y")," ","%20"),"#","")&amp;"%20-%20seguimiento"&amp;"&amp;dates="&amp;YEAR(IF(O175="",TODAY()+3,O175))&amp;RIGHT("0"&amp;MONTH(IF(O175="",TODAY()+3,O175)),2)&amp;RIGHT("0"&amp;DAY(IF(O175="",TODAY()+3,O175)),2)&amp;"/"&amp;YEAR(IF(O175="",TODAY()+4,O175+1))&amp;RIGHT("0"&amp;MONTH(IF(O175="",TODAY()+4,O175+1)),2)&amp;RIGHT("0"&amp;DAY(IF(O175="",TODAY()+4,O175+1)),2),"📅 Agendar"))</f>
        <v/>
      </c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9" t="n"/>
      <c r="L176" s="19" t="n"/>
      <c r="M176" s="18" t="n"/>
      <c r="N176" s="18" t="n"/>
      <c r="O176" s="19" t="n"/>
      <c r="P176" s="18">
        <f>IF(L176="","",TODAY()-L176)</f>
        <v/>
      </c>
      <c r="Q176" s="18" t="n"/>
      <c r="R176" s="18" t="n"/>
      <c r="S176" s="18" t="n"/>
      <c r="T176" s="18" t="n"/>
      <c r="U176" s="18" t="n"/>
      <c r="V176" s="20">
        <f>IF(A176="","",HYPERLINK("https://calendar.google.com/calendar/render?action=TEMPLATE&amp;text="&amp;"Racksa%3A%20"&amp;SUBSTITUTE(SUBSTITUTE(SUBSTITUTE(LEFT(B176,45),"&amp;","y")," ","%20"),"#","")&amp;"%20-%20seguimiento"&amp;"&amp;dates="&amp;YEAR(IF(O176="",TODAY()+3,O176))&amp;RIGHT("0"&amp;MONTH(IF(O176="",TODAY()+3,O176)),2)&amp;RIGHT("0"&amp;DAY(IF(O176="",TODAY()+3,O176)),2)&amp;"/"&amp;YEAR(IF(O176="",TODAY()+4,O176+1))&amp;RIGHT("0"&amp;MONTH(IF(O176="",TODAY()+4,O176+1)),2)&amp;RIGHT("0"&amp;DAY(IF(O176="",TODAY()+4,O176+1)),2),"📅 Agendar"))</f>
        <v/>
      </c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9" t="n"/>
      <c r="L177" s="19" t="n"/>
      <c r="M177" s="18" t="n"/>
      <c r="N177" s="18" t="n"/>
      <c r="O177" s="19" t="n"/>
      <c r="P177" s="18">
        <f>IF(L177="","",TODAY()-L177)</f>
        <v/>
      </c>
      <c r="Q177" s="18" t="n"/>
      <c r="R177" s="18" t="n"/>
      <c r="S177" s="18" t="n"/>
      <c r="T177" s="18" t="n"/>
      <c r="U177" s="18" t="n"/>
      <c r="V177" s="20">
        <f>IF(A177="","",HYPERLINK("https://calendar.google.com/calendar/render?action=TEMPLATE&amp;text="&amp;"Racksa%3A%20"&amp;SUBSTITUTE(SUBSTITUTE(SUBSTITUTE(LEFT(B177,45),"&amp;","y")," ","%20"),"#","")&amp;"%20-%20seguimiento"&amp;"&amp;dates="&amp;YEAR(IF(O177="",TODAY()+3,O177))&amp;RIGHT("0"&amp;MONTH(IF(O177="",TODAY()+3,O177)),2)&amp;RIGHT("0"&amp;DAY(IF(O177="",TODAY()+3,O177)),2)&amp;"/"&amp;YEAR(IF(O177="",TODAY()+4,O177+1))&amp;RIGHT("0"&amp;MONTH(IF(O177="",TODAY()+4,O177+1)),2)&amp;RIGHT("0"&amp;DAY(IF(O177="",TODAY()+4,O177+1)),2),"📅 Agendar"))</f>
        <v/>
      </c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9" t="n"/>
      <c r="L178" s="19" t="n"/>
      <c r="M178" s="18" t="n"/>
      <c r="N178" s="18" t="n"/>
      <c r="O178" s="19" t="n"/>
      <c r="P178" s="18">
        <f>IF(L178="","",TODAY()-L178)</f>
        <v/>
      </c>
      <c r="Q178" s="18" t="n"/>
      <c r="R178" s="18" t="n"/>
      <c r="S178" s="18" t="n"/>
      <c r="T178" s="18" t="n"/>
      <c r="U178" s="18" t="n"/>
      <c r="V178" s="20">
        <f>IF(A178="","",HYPERLINK("https://calendar.google.com/calendar/render?action=TEMPLATE&amp;text="&amp;"Racksa%3A%20"&amp;SUBSTITUTE(SUBSTITUTE(SUBSTITUTE(LEFT(B178,45),"&amp;","y")," ","%20"),"#","")&amp;"%20-%20seguimiento"&amp;"&amp;dates="&amp;YEAR(IF(O178="",TODAY()+3,O178))&amp;RIGHT("0"&amp;MONTH(IF(O178="",TODAY()+3,O178)),2)&amp;RIGHT("0"&amp;DAY(IF(O178="",TODAY()+3,O178)),2)&amp;"/"&amp;YEAR(IF(O178="",TODAY()+4,O178+1))&amp;RIGHT("0"&amp;MONTH(IF(O178="",TODAY()+4,O178+1)),2)&amp;RIGHT("0"&amp;DAY(IF(O178="",TODAY()+4,O178+1)),2),"📅 Agendar"))</f>
        <v/>
      </c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9" t="n"/>
      <c r="L179" s="19" t="n"/>
      <c r="M179" s="18" t="n"/>
      <c r="N179" s="18" t="n"/>
      <c r="O179" s="19" t="n"/>
      <c r="P179" s="18">
        <f>IF(L179="","",TODAY()-L179)</f>
        <v/>
      </c>
      <c r="Q179" s="18" t="n"/>
      <c r="R179" s="18" t="n"/>
      <c r="S179" s="18" t="n"/>
      <c r="T179" s="18" t="n"/>
      <c r="U179" s="18" t="n"/>
      <c r="V179" s="20">
        <f>IF(A179="","",HYPERLINK("https://calendar.google.com/calendar/render?action=TEMPLATE&amp;text="&amp;"Racksa%3A%20"&amp;SUBSTITUTE(SUBSTITUTE(SUBSTITUTE(LEFT(B179,45),"&amp;","y")," ","%20"),"#","")&amp;"%20-%20seguimiento"&amp;"&amp;dates="&amp;YEAR(IF(O179="",TODAY()+3,O179))&amp;RIGHT("0"&amp;MONTH(IF(O179="",TODAY()+3,O179)),2)&amp;RIGHT("0"&amp;DAY(IF(O179="",TODAY()+3,O179)),2)&amp;"/"&amp;YEAR(IF(O179="",TODAY()+4,O179+1))&amp;RIGHT("0"&amp;MONTH(IF(O179="",TODAY()+4,O179+1)),2)&amp;RIGHT("0"&amp;DAY(IF(O179="",TODAY()+4,O179+1)),2),"📅 Agendar"))</f>
        <v/>
      </c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9" t="n"/>
      <c r="L180" s="19" t="n"/>
      <c r="M180" s="18" t="n"/>
      <c r="N180" s="18" t="n"/>
      <c r="O180" s="19" t="n"/>
      <c r="P180" s="18">
        <f>IF(L180="","",TODAY()-L180)</f>
        <v/>
      </c>
      <c r="Q180" s="18" t="n"/>
      <c r="R180" s="18" t="n"/>
      <c r="S180" s="18" t="n"/>
      <c r="T180" s="18" t="n"/>
      <c r="U180" s="18" t="n"/>
      <c r="V180" s="20">
        <f>IF(A180="","",HYPERLINK("https://calendar.google.com/calendar/render?action=TEMPLATE&amp;text="&amp;"Racksa%3A%20"&amp;SUBSTITUTE(SUBSTITUTE(SUBSTITUTE(LEFT(B180,45),"&amp;","y")," ","%20"),"#","")&amp;"%20-%20seguimiento"&amp;"&amp;dates="&amp;YEAR(IF(O180="",TODAY()+3,O180))&amp;RIGHT("0"&amp;MONTH(IF(O180="",TODAY()+3,O180)),2)&amp;RIGHT("0"&amp;DAY(IF(O180="",TODAY()+3,O180)),2)&amp;"/"&amp;YEAR(IF(O180="",TODAY()+4,O180+1))&amp;RIGHT("0"&amp;MONTH(IF(O180="",TODAY()+4,O180+1)),2)&amp;RIGHT("0"&amp;DAY(IF(O180="",TODAY()+4,O180+1)),2),"📅 Agendar"))</f>
        <v/>
      </c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9" t="n"/>
      <c r="L181" s="19" t="n"/>
      <c r="M181" s="18" t="n"/>
      <c r="N181" s="18" t="n"/>
      <c r="O181" s="19" t="n"/>
      <c r="P181" s="18">
        <f>IF(L181="","",TODAY()-L181)</f>
        <v/>
      </c>
      <c r="Q181" s="18" t="n"/>
      <c r="R181" s="18" t="n"/>
      <c r="S181" s="18" t="n"/>
      <c r="T181" s="18" t="n"/>
      <c r="U181" s="18" t="n"/>
      <c r="V181" s="20">
        <f>IF(A181="","",HYPERLINK("https://calendar.google.com/calendar/render?action=TEMPLATE&amp;text="&amp;"Racksa%3A%20"&amp;SUBSTITUTE(SUBSTITUTE(SUBSTITUTE(LEFT(B181,45),"&amp;","y")," ","%20"),"#","")&amp;"%20-%20seguimiento"&amp;"&amp;dates="&amp;YEAR(IF(O181="",TODAY()+3,O181))&amp;RIGHT("0"&amp;MONTH(IF(O181="",TODAY()+3,O181)),2)&amp;RIGHT("0"&amp;DAY(IF(O181="",TODAY()+3,O181)),2)&amp;"/"&amp;YEAR(IF(O181="",TODAY()+4,O181+1))&amp;RIGHT("0"&amp;MONTH(IF(O181="",TODAY()+4,O181+1)),2)&amp;RIGHT("0"&amp;DAY(IF(O181="",TODAY()+4,O181+1)),2),"📅 Agendar"))</f>
        <v/>
      </c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9" t="n"/>
      <c r="L182" s="19" t="n"/>
      <c r="M182" s="18" t="n"/>
      <c r="N182" s="18" t="n"/>
      <c r="O182" s="19" t="n"/>
      <c r="P182" s="18">
        <f>IF(L182="","",TODAY()-L182)</f>
        <v/>
      </c>
      <c r="Q182" s="18" t="n"/>
      <c r="R182" s="18" t="n"/>
      <c r="S182" s="18" t="n"/>
      <c r="T182" s="18" t="n"/>
      <c r="U182" s="18" t="n"/>
      <c r="V182" s="20">
        <f>IF(A182="","",HYPERLINK("https://calendar.google.com/calendar/render?action=TEMPLATE&amp;text="&amp;"Racksa%3A%20"&amp;SUBSTITUTE(SUBSTITUTE(SUBSTITUTE(LEFT(B182,45),"&amp;","y")," ","%20"),"#","")&amp;"%20-%20seguimiento"&amp;"&amp;dates="&amp;YEAR(IF(O182="",TODAY()+3,O182))&amp;RIGHT("0"&amp;MONTH(IF(O182="",TODAY()+3,O182)),2)&amp;RIGHT("0"&amp;DAY(IF(O182="",TODAY()+3,O182)),2)&amp;"/"&amp;YEAR(IF(O182="",TODAY()+4,O182+1))&amp;RIGHT("0"&amp;MONTH(IF(O182="",TODAY()+4,O182+1)),2)&amp;RIGHT("0"&amp;DAY(IF(O182="",TODAY()+4,O182+1)),2),"📅 Agendar"))</f>
        <v/>
      </c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9" t="n"/>
      <c r="L183" s="19" t="n"/>
      <c r="M183" s="18" t="n"/>
      <c r="N183" s="18" t="n"/>
      <c r="O183" s="19" t="n"/>
      <c r="P183" s="18">
        <f>IF(L183="","",TODAY()-L183)</f>
        <v/>
      </c>
      <c r="Q183" s="18" t="n"/>
      <c r="R183" s="18" t="n"/>
      <c r="S183" s="18" t="n"/>
      <c r="T183" s="18" t="n"/>
      <c r="U183" s="18" t="n"/>
      <c r="V183" s="20">
        <f>IF(A183="","",HYPERLINK("https://calendar.google.com/calendar/render?action=TEMPLATE&amp;text="&amp;"Racksa%3A%20"&amp;SUBSTITUTE(SUBSTITUTE(SUBSTITUTE(LEFT(B183,45),"&amp;","y")," ","%20"),"#","")&amp;"%20-%20seguimiento"&amp;"&amp;dates="&amp;YEAR(IF(O183="",TODAY()+3,O183))&amp;RIGHT("0"&amp;MONTH(IF(O183="",TODAY()+3,O183)),2)&amp;RIGHT("0"&amp;DAY(IF(O183="",TODAY()+3,O183)),2)&amp;"/"&amp;YEAR(IF(O183="",TODAY()+4,O183+1))&amp;RIGHT("0"&amp;MONTH(IF(O183="",TODAY()+4,O183+1)),2)&amp;RIGHT("0"&amp;DAY(IF(O183="",TODAY()+4,O183+1)),2),"📅 Agendar"))</f>
        <v/>
      </c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9" t="n"/>
      <c r="L184" s="19" t="n"/>
      <c r="M184" s="18" t="n"/>
      <c r="N184" s="18" t="n"/>
      <c r="O184" s="19" t="n"/>
      <c r="P184" s="18">
        <f>IF(L184="","",TODAY()-L184)</f>
        <v/>
      </c>
      <c r="Q184" s="18" t="n"/>
      <c r="R184" s="18" t="n"/>
      <c r="S184" s="18" t="n"/>
      <c r="T184" s="18" t="n"/>
      <c r="U184" s="18" t="n"/>
      <c r="V184" s="20">
        <f>IF(A184="","",HYPERLINK("https://calendar.google.com/calendar/render?action=TEMPLATE&amp;text="&amp;"Racksa%3A%20"&amp;SUBSTITUTE(SUBSTITUTE(SUBSTITUTE(LEFT(B184,45),"&amp;","y")," ","%20"),"#","")&amp;"%20-%20seguimiento"&amp;"&amp;dates="&amp;YEAR(IF(O184="",TODAY()+3,O184))&amp;RIGHT("0"&amp;MONTH(IF(O184="",TODAY()+3,O184)),2)&amp;RIGHT("0"&amp;DAY(IF(O184="",TODAY()+3,O184)),2)&amp;"/"&amp;YEAR(IF(O184="",TODAY()+4,O184+1))&amp;RIGHT("0"&amp;MONTH(IF(O184="",TODAY()+4,O184+1)),2)&amp;RIGHT("0"&amp;DAY(IF(O184="",TODAY()+4,O184+1)),2),"📅 Agendar"))</f>
        <v/>
      </c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9" t="n"/>
      <c r="L185" s="19" t="n"/>
      <c r="M185" s="18" t="n"/>
      <c r="N185" s="18" t="n"/>
      <c r="O185" s="19" t="n"/>
      <c r="P185" s="18">
        <f>IF(L185="","",TODAY()-L185)</f>
        <v/>
      </c>
      <c r="Q185" s="18" t="n"/>
      <c r="R185" s="18" t="n"/>
      <c r="S185" s="18" t="n"/>
      <c r="T185" s="18" t="n"/>
      <c r="U185" s="18" t="n"/>
      <c r="V185" s="20">
        <f>IF(A185="","",HYPERLINK("https://calendar.google.com/calendar/render?action=TEMPLATE&amp;text="&amp;"Racksa%3A%20"&amp;SUBSTITUTE(SUBSTITUTE(SUBSTITUTE(LEFT(B185,45),"&amp;","y")," ","%20"),"#","")&amp;"%20-%20seguimiento"&amp;"&amp;dates="&amp;YEAR(IF(O185="",TODAY()+3,O185))&amp;RIGHT("0"&amp;MONTH(IF(O185="",TODAY()+3,O185)),2)&amp;RIGHT("0"&amp;DAY(IF(O185="",TODAY()+3,O185)),2)&amp;"/"&amp;YEAR(IF(O185="",TODAY()+4,O185+1))&amp;RIGHT("0"&amp;MONTH(IF(O185="",TODAY()+4,O185+1)),2)&amp;RIGHT("0"&amp;DAY(IF(O185="",TODAY()+4,O185+1)),2),"📅 Agendar"))</f>
        <v/>
      </c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9" t="n"/>
      <c r="L186" s="19" t="n"/>
      <c r="M186" s="18" t="n"/>
      <c r="N186" s="18" t="n"/>
      <c r="O186" s="19" t="n"/>
      <c r="P186" s="18">
        <f>IF(L186="","",TODAY()-L186)</f>
        <v/>
      </c>
      <c r="Q186" s="18" t="n"/>
      <c r="R186" s="18" t="n"/>
      <c r="S186" s="18" t="n"/>
      <c r="T186" s="18" t="n"/>
      <c r="U186" s="18" t="n"/>
      <c r="V186" s="20">
        <f>IF(A186="","",HYPERLINK("https://calendar.google.com/calendar/render?action=TEMPLATE&amp;text="&amp;"Racksa%3A%20"&amp;SUBSTITUTE(SUBSTITUTE(SUBSTITUTE(LEFT(B186,45),"&amp;","y")," ","%20"),"#","")&amp;"%20-%20seguimiento"&amp;"&amp;dates="&amp;YEAR(IF(O186="",TODAY()+3,O186))&amp;RIGHT("0"&amp;MONTH(IF(O186="",TODAY()+3,O186)),2)&amp;RIGHT("0"&amp;DAY(IF(O186="",TODAY()+3,O186)),2)&amp;"/"&amp;YEAR(IF(O186="",TODAY()+4,O186+1))&amp;RIGHT("0"&amp;MONTH(IF(O186="",TODAY()+4,O186+1)),2)&amp;RIGHT("0"&amp;DAY(IF(O186="",TODAY()+4,O186+1)),2),"📅 Agendar"))</f>
        <v/>
      </c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9" t="n"/>
      <c r="L187" s="19" t="n"/>
      <c r="M187" s="18" t="n"/>
      <c r="N187" s="18" t="n"/>
      <c r="O187" s="19" t="n"/>
      <c r="P187" s="18">
        <f>IF(L187="","",TODAY()-L187)</f>
        <v/>
      </c>
      <c r="Q187" s="18" t="n"/>
      <c r="R187" s="18" t="n"/>
      <c r="S187" s="18" t="n"/>
      <c r="T187" s="18" t="n"/>
      <c r="U187" s="18" t="n"/>
      <c r="V187" s="20">
        <f>IF(A187="","",HYPERLINK("https://calendar.google.com/calendar/render?action=TEMPLATE&amp;text="&amp;"Racksa%3A%20"&amp;SUBSTITUTE(SUBSTITUTE(SUBSTITUTE(LEFT(B187,45),"&amp;","y")," ","%20"),"#","")&amp;"%20-%20seguimiento"&amp;"&amp;dates="&amp;YEAR(IF(O187="",TODAY()+3,O187))&amp;RIGHT("0"&amp;MONTH(IF(O187="",TODAY()+3,O187)),2)&amp;RIGHT("0"&amp;DAY(IF(O187="",TODAY()+3,O187)),2)&amp;"/"&amp;YEAR(IF(O187="",TODAY()+4,O187+1))&amp;RIGHT("0"&amp;MONTH(IF(O187="",TODAY()+4,O187+1)),2)&amp;RIGHT("0"&amp;DAY(IF(O187="",TODAY()+4,O187+1)),2),"📅 Agendar"))</f>
        <v/>
      </c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9" t="n"/>
      <c r="L188" s="19" t="n"/>
      <c r="M188" s="18" t="n"/>
      <c r="N188" s="18" t="n"/>
      <c r="O188" s="19" t="n"/>
      <c r="P188" s="18">
        <f>IF(L188="","",TODAY()-L188)</f>
        <v/>
      </c>
      <c r="Q188" s="18" t="n"/>
      <c r="R188" s="18" t="n"/>
      <c r="S188" s="18" t="n"/>
      <c r="T188" s="18" t="n"/>
      <c r="U188" s="18" t="n"/>
      <c r="V188" s="20">
        <f>IF(A188="","",HYPERLINK("https://calendar.google.com/calendar/render?action=TEMPLATE&amp;text="&amp;"Racksa%3A%20"&amp;SUBSTITUTE(SUBSTITUTE(SUBSTITUTE(LEFT(B188,45),"&amp;","y")," ","%20"),"#","")&amp;"%20-%20seguimiento"&amp;"&amp;dates="&amp;YEAR(IF(O188="",TODAY()+3,O188))&amp;RIGHT("0"&amp;MONTH(IF(O188="",TODAY()+3,O188)),2)&amp;RIGHT("0"&amp;DAY(IF(O188="",TODAY()+3,O188)),2)&amp;"/"&amp;YEAR(IF(O188="",TODAY()+4,O188+1))&amp;RIGHT("0"&amp;MONTH(IF(O188="",TODAY()+4,O188+1)),2)&amp;RIGHT("0"&amp;DAY(IF(O188="",TODAY()+4,O188+1)),2),"📅 Agendar"))</f>
        <v/>
      </c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9" t="n"/>
      <c r="L189" s="19" t="n"/>
      <c r="M189" s="18" t="n"/>
      <c r="N189" s="18" t="n"/>
      <c r="O189" s="19" t="n"/>
      <c r="P189" s="18">
        <f>IF(L189="","",TODAY()-L189)</f>
        <v/>
      </c>
      <c r="Q189" s="18" t="n"/>
      <c r="R189" s="18" t="n"/>
      <c r="S189" s="18" t="n"/>
      <c r="T189" s="18" t="n"/>
      <c r="U189" s="18" t="n"/>
      <c r="V189" s="20">
        <f>IF(A189="","",HYPERLINK("https://calendar.google.com/calendar/render?action=TEMPLATE&amp;text="&amp;"Racksa%3A%20"&amp;SUBSTITUTE(SUBSTITUTE(SUBSTITUTE(LEFT(B189,45),"&amp;","y")," ","%20"),"#","")&amp;"%20-%20seguimiento"&amp;"&amp;dates="&amp;YEAR(IF(O189="",TODAY()+3,O189))&amp;RIGHT("0"&amp;MONTH(IF(O189="",TODAY()+3,O189)),2)&amp;RIGHT("0"&amp;DAY(IF(O189="",TODAY()+3,O189)),2)&amp;"/"&amp;YEAR(IF(O189="",TODAY()+4,O189+1))&amp;RIGHT("0"&amp;MONTH(IF(O189="",TODAY()+4,O189+1)),2)&amp;RIGHT("0"&amp;DAY(IF(O189="",TODAY()+4,O189+1)),2),"📅 Agendar"))</f>
        <v/>
      </c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9" t="n"/>
      <c r="L190" s="19" t="n"/>
      <c r="M190" s="18" t="n"/>
      <c r="N190" s="18" t="n"/>
      <c r="O190" s="19" t="n"/>
      <c r="P190" s="18">
        <f>IF(L190="","",TODAY()-L190)</f>
        <v/>
      </c>
      <c r="Q190" s="18" t="n"/>
      <c r="R190" s="18" t="n"/>
      <c r="S190" s="18" t="n"/>
      <c r="T190" s="18" t="n"/>
      <c r="U190" s="18" t="n"/>
      <c r="V190" s="20">
        <f>IF(A190="","",HYPERLINK("https://calendar.google.com/calendar/render?action=TEMPLATE&amp;text="&amp;"Racksa%3A%20"&amp;SUBSTITUTE(SUBSTITUTE(SUBSTITUTE(LEFT(B190,45),"&amp;","y")," ","%20"),"#","")&amp;"%20-%20seguimiento"&amp;"&amp;dates="&amp;YEAR(IF(O190="",TODAY()+3,O190))&amp;RIGHT("0"&amp;MONTH(IF(O190="",TODAY()+3,O190)),2)&amp;RIGHT("0"&amp;DAY(IF(O190="",TODAY()+3,O190)),2)&amp;"/"&amp;YEAR(IF(O190="",TODAY()+4,O190+1))&amp;RIGHT("0"&amp;MONTH(IF(O190="",TODAY()+4,O190+1)),2)&amp;RIGHT("0"&amp;DAY(IF(O190="",TODAY()+4,O190+1)),2),"📅 Agendar"))</f>
        <v/>
      </c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9" t="n"/>
      <c r="L191" s="19" t="n"/>
      <c r="M191" s="18" t="n"/>
      <c r="N191" s="18" t="n"/>
      <c r="O191" s="19" t="n"/>
      <c r="P191" s="18">
        <f>IF(L191="","",TODAY()-L191)</f>
        <v/>
      </c>
      <c r="Q191" s="18" t="n"/>
      <c r="R191" s="18" t="n"/>
      <c r="S191" s="18" t="n"/>
      <c r="T191" s="18" t="n"/>
      <c r="U191" s="18" t="n"/>
      <c r="V191" s="20">
        <f>IF(A191="","",HYPERLINK("https://calendar.google.com/calendar/render?action=TEMPLATE&amp;text="&amp;"Racksa%3A%20"&amp;SUBSTITUTE(SUBSTITUTE(SUBSTITUTE(LEFT(B191,45),"&amp;","y")," ","%20"),"#","")&amp;"%20-%20seguimiento"&amp;"&amp;dates="&amp;YEAR(IF(O191="",TODAY()+3,O191))&amp;RIGHT("0"&amp;MONTH(IF(O191="",TODAY()+3,O191)),2)&amp;RIGHT("0"&amp;DAY(IF(O191="",TODAY()+3,O191)),2)&amp;"/"&amp;YEAR(IF(O191="",TODAY()+4,O191+1))&amp;RIGHT("0"&amp;MONTH(IF(O191="",TODAY()+4,O191+1)),2)&amp;RIGHT("0"&amp;DAY(IF(O191="",TODAY()+4,O191+1)),2),"📅 Agendar"))</f>
        <v/>
      </c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9" t="n"/>
      <c r="L192" s="19" t="n"/>
      <c r="M192" s="18" t="n"/>
      <c r="N192" s="18" t="n"/>
      <c r="O192" s="19" t="n"/>
      <c r="P192" s="18">
        <f>IF(L192="","",TODAY()-L192)</f>
        <v/>
      </c>
      <c r="Q192" s="18" t="n"/>
      <c r="R192" s="18" t="n"/>
      <c r="S192" s="18" t="n"/>
      <c r="T192" s="18" t="n"/>
      <c r="U192" s="18" t="n"/>
      <c r="V192" s="20">
        <f>IF(A192="","",HYPERLINK("https://calendar.google.com/calendar/render?action=TEMPLATE&amp;text="&amp;"Racksa%3A%20"&amp;SUBSTITUTE(SUBSTITUTE(SUBSTITUTE(LEFT(B192,45),"&amp;","y")," ","%20"),"#","")&amp;"%20-%20seguimiento"&amp;"&amp;dates="&amp;YEAR(IF(O192="",TODAY()+3,O192))&amp;RIGHT("0"&amp;MONTH(IF(O192="",TODAY()+3,O192)),2)&amp;RIGHT("0"&amp;DAY(IF(O192="",TODAY()+3,O192)),2)&amp;"/"&amp;YEAR(IF(O192="",TODAY()+4,O192+1))&amp;RIGHT("0"&amp;MONTH(IF(O192="",TODAY()+4,O192+1)),2)&amp;RIGHT("0"&amp;DAY(IF(O192="",TODAY()+4,O192+1)),2),"📅 Agendar"))</f>
        <v/>
      </c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9" t="n"/>
      <c r="L193" s="19" t="n"/>
      <c r="M193" s="18" t="n"/>
      <c r="N193" s="18" t="n"/>
      <c r="O193" s="19" t="n"/>
      <c r="P193" s="18">
        <f>IF(L193="","",TODAY()-L193)</f>
        <v/>
      </c>
      <c r="Q193" s="18" t="n"/>
      <c r="R193" s="18" t="n"/>
      <c r="S193" s="18" t="n"/>
      <c r="T193" s="18" t="n"/>
      <c r="U193" s="18" t="n"/>
      <c r="V193" s="20">
        <f>IF(A193="","",HYPERLINK("https://calendar.google.com/calendar/render?action=TEMPLATE&amp;text="&amp;"Racksa%3A%20"&amp;SUBSTITUTE(SUBSTITUTE(SUBSTITUTE(LEFT(B193,45),"&amp;","y")," ","%20"),"#","")&amp;"%20-%20seguimiento"&amp;"&amp;dates="&amp;YEAR(IF(O193="",TODAY()+3,O193))&amp;RIGHT("0"&amp;MONTH(IF(O193="",TODAY()+3,O193)),2)&amp;RIGHT("0"&amp;DAY(IF(O193="",TODAY()+3,O193)),2)&amp;"/"&amp;YEAR(IF(O193="",TODAY()+4,O193+1))&amp;RIGHT("0"&amp;MONTH(IF(O193="",TODAY()+4,O193+1)),2)&amp;RIGHT("0"&amp;DAY(IF(O193="",TODAY()+4,O193+1)),2),"📅 Agendar"))</f>
        <v/>
      </c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9" t="n"/>
      <c r="L194" s="19" t="n"/>
      <c r="M194" s="18" t="n"/>
      <c r="N194" s="18" t="n"/>
      <c r="O194" s="19" t="n"/>
      <c r="P194" s="18">
        <f>IF(L194="","",TODAY()-L194)</f>
        <v/>
      </c>
      <c r="Q194" s="18" t="n"/>
      <c r="R194" s="18" t="n"/>
      <c r="S194" s="18" t="n"/>
      <c r="T194" s="18" t="n"/>
      <c r="U194" s="18" t="n"/>
      <c r="V194" s="20">
        <f>IF(A194="","",HYPERLINK("https://calendar.google.com/calendar/render?action=TEMPLATE&amp;text="&amp;"Racksa%3A%20"&amp;SUBSTITUTE(SUBSTITUTE(SUBSTITUTE(LEFT(B194,45),"&amp;","y")," ","%20"),"#","")&amp;"%20-%20seguimiento"&amp;"&amp;dates="&amp;YEAR(IF(O194="",TODAY()+3,O194))&amp;RIGHT("0"&amp;MONTH(IF(O194="",TODAY()+3,O194)),2)&amp;RIGHT("0"&amp;DAY(IF(O194="",TODAY()+3,O194)),2)&amp;"/"&amp;YEAR(IF(O194="",TODAY()+4,O194+1))&amp;RIGHT("0"&amp;MONTH(IF(O194="",TODAY()+4,O194+1)),2)&amp;RIGHT("0"&amp;DAY(IF(O194="",TODAY()+4,O194+1)),2),"📅 Agendar"))</f>
        <v/>
      </c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9" t="n"/>
      <c r="L195" s="19" t="n"/>
      <c r="M195" s="18" t="n"/>
      <c r="N195" s="18" t="n"/>
      <c r="O195" s="19" t="n"/>
      <c r="P195" s="18">
        <f>IF(L195="","",TODAY()-L195)</f>
        <v/>
      </c>
      <c r="Q195" s="18" t="n"/>
      <c r="R195" s="18" t="n"/>
      <c r="S195" s="18" t="n"/>
      <c r="T195" s="18" t="n"/>
      <c r="U195" s="18" t="n"/>
      <c r="V195" s="20">
        <f>IF(A195="","",HYPERLINK("https://calendar.google.com/calendar/render?action=TEMPLATE&amp;text="&amp;"Racksa%3A%20"&amp;SUBSTITUTE(SUBSTITUTE(SUBSTITUTE(LEFT(B195,45),"&amp;","y")," ","%20"),"#","")&amp;"%20-%20seguimiento"&amp;"&amp;dates="&amp;YEAR(IF(O195="",TODAY()+3,O195))&amp;RIGHT("0"&amp;MONTH(IF(O195="",TODAY()+3,O195)),2)&amp;RIGHT("0"&amp;DAY(IF(O195="",TODAY()+3,O195)),2)&amp;"/"&amp;YEAR(IF(O195="",TODAY()+4,O195+1))&amp;RIGHT("0"&amp;MONTH(IF(O195="",TODAY()+4,O195+1)),2)&amp;RIGHT("0"&amp;DAY(IF(O195="",TODAY()+4,O195+1)),2),"📅 Agendar"))</f>
        <v/>
      </c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9" t="n"/>
      <c r="L196" s="19" t="n"/>
      <c r="M196" s="18" t="n"/>
      <c r="N196" s="18" t="n"/>
      <c r="O196" s="19" t="n"/>
      <c r="P196" s="18">
        <f>IF(L196="","",TODAY()-L196)</f>
        <v/>
      </c>
      <c r="Q196" s="18" t="n"/>
      <c r="R196" s="18" t="n"/>
      <c r="S196" s="18" t="n"/>
      <c r="T196" s="18" t="n"/>
      <c r="U196" s="18" t="n"/>
      <c r="V196" s="20">
        <f>IF(A196="","",HYPERLINK("https://calendar.google.com/calendar/render?action=TEMPLATE&amp;text="&amp;"Racksa%3A%20"&amp;SUBSTITUTE(SUBSTITUTE(SUBSTITUTE(LEFT(B196,45),"&amp;","y")," ","%20"),"#","")&amp;"%20-%20seguimiento"&amp;"&amp;dates="&amp;YEAR(IF(O196="",TODAY()+3,O196))&amp;RIGHT("0"&amp;MONTH(IF(O196="",TODAY()+3,O196)),2)&amp;RIGHT("0"&amp;DAY(IF(O196="",TODAY()+3,O196)),2)&amp;"/"&amp;YEAR(IF(O196="",TODAY()+4,O196+1))&amp;RIGHT("0"&amp;MONTH(IF(O196="",TODAY()+4,O196+1)),2)&amp;RIGHT("0"&amp;DAY(IF(O196="",TODAY()+4,O196+1)),2),"📅 Agendar"))</f>
        <v/>
      </c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9" t="n"/>
      <c r="L197" s="19" t="n"/>
      <c r="M197" s="18" t="n"/>
      <c r="N197" s="18" t="n"/>
      <c r="O197" s="19" t="n"/>
      <c r="P197" s="18">
        <f>IF(L197="","",TODAY()-L197)</f>
        <v/>
      </c>
      <c r="Q197" s="18" t="n"/>
      <c r="R197" s="18" t="n"/>
      <c r="S197" s="18" t="n"/>
      <c r="T197" s="18" t="n"/>
      <c r="U197" s="18" t="n"/>
      <c r="V197" s="20">
        <f>IF(A197="","",HYPERLINK("https://calendar.google.com/calendar/render?action=TEMPLATE&amp;text="&amp;"Racksa%3A%20"&amp;SUBSTITUTE(SUBSTITUTE(SUBSTITUTE(LEFT(B197,45),"&amp;","y")," ","%20"),"#","")&amp;"%20-%20seguimiento"&amp;"&amp;dates="&amp;YEAR(IF(O197="",TODAY()+3,O197))&amp;RIGHT("0"&amp;MONTH(IF(O197="",TODAY()+3,O197)),2)&amp;RIGHT("0"&amp;DAY(IF(O197="",TODAY()+3,O197)),2)&amp;"/"&amp;YEAR(IF(O197="",TODAY()+4,O197+1))&amp;RIGHT("0"&amp;MONTH(IF(O197="",TODAY()+4,O197+1)),2)&amp;RIGHT("0"&amp;DAY(IF(O197="",TODAY()+4,O197+1)),2),"📅 Agendar"))</f>
        <v/>
      </c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9" t="n"/>
      <c r="L198" s="19" t="n"/>
      <c r="M198" s="18" t="n"/>
      <c r="N198" s="18" t="n"/>
      <c r="O198" s="19" t="n"/>
      <c r="P198" s="18">
        <f>IF(L198="","",TODAY()-L198)</f>
        <v/>
      </c>
      <c r="Q198" s="18" t="n"/>
      <c r="R198" s="18" t="n"/>
      <c r="S198" s="18" t="n"/>
      <c r="T198" s="18" t="n"/>
      <c r="U198" s="18" t="n"/>
      <c r="V198" s="20">
        <f>IF(A198="","",HYPERLINK("https://calendar.google.com/calendar/render?action=TEMPLATE&amp;text="&amp;"Racksa%3A%20"&amp;SUBSTITUTE(SUBSTITUTE(SUBSTITUTE(LEFT(B198,45),"&amp;","y")," ","%20"),"#","")&amp;"%20-%20seguimiento"&amp;"&amp;dates="&amp;YEAR(IF(O198="",TODAY()+3,O198))&amp;RIGHT("0"&amp;MONTH(IF(O198="",TODAY()+3,O198)),2)&amp;RIGHT("0"&amp;DAY(IF(O198="",TODAY()+3,O198)),2)&amp;"/"&amp;YEAR(IF(O198="",TODAY()+4,O198+1))&amp;RIGHT("0"&amp;MONTH(IF(O198="",TODAY()+4,O198+1)),2)&amp;RIGHT("0"&amp;DAY(IF(O198="",TODAY()+4,O198+1)),2),"📅 Agendar"))</f>
        <v/>
      </c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9" t="n"/>
      <c r="L199" s="19" t="n"/>
      <c r="M199" s="18" t="n"/>
      <c r="N199" s="18" t="n"/>
      <c r="O199" s="19" t="n"/>
      <c r="P199" s="18">
        <f>IF(L199="","",TODAY()-L199)</f>
        <v/>
      </c>
      <c r="Q199" s="18" t="n"/>
      <c r="R199" s="18" t="n"/>
      <c r="S199" s="18" t="n"/>
      <c r="T199" s="18" t="n"/>
      <c r="U199" s="18" t="n"/>
      <c r="V199" s="20">
        <f>IF(A199="","",HYPERLINK("https://calendar.google.com/calendar/render?action=TEMPLATE&amp;text="&amp;"Racksa%3A%20"&amp;SUBSTITUTE(SUBSTITUTE(SUBSTITUTE(LEFT(B199,45),"&amp;","y")," ","%20"),"#","")&amp;"%20-%20seguimiento"&amp;"&amp;dates="&amp;YEAR(IF(O199="",TODAY()+3,O199))&amp;RIGHT("0"&amp;MONTH(IF(O199="",TODAY()+3,O199)),2)&amp;RIGHT("0"&amp;DAY(IF(O199="",TODAY()+3,O199)),2)&amp;"/"&amp;YEAR(IF(O199="",TODAY()+4,O199+1))&amp;RIGHT("0"&amp;MONTH(IF(O199="",TODAY()+4,O199+1)),2)&amp;RIGHT("0"&amp;DAY(IF(O199="",TODAY()+4,O199+1)),2),"📅 Agendar"))</f>
        <v/>
      </c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9" t="n"/>
      <c r="L200" s="19" t="n"/>
      <c r="M200" s="18" t="n"/>
      <c r="N200" s="18" t="n"/>
      <c r="O200" s="19" t="n"/>
      <c r="P200" s="18">
        <f>IF(L200="","",TODAY()-L200)</f>
        <v/>
      </c>
      <c r="Q200" s="18" t="n"/>
      <c r="R200" s="18" t="n"/>
      <c r="S200" s="18" t="n"/>
      <c r="T200" s="18" t="n"/>
      <c r="U200" s="18" t="n"/>
      <c r="V200" s="20">
        <f>IF(A200="","",HYPERLINK("https://calendar.google.com/calendar/render?action=TEMPLATE&amp;text="&amp;"Racksa%3A%20"&amp;SUBSTITUTE(SUBSTITUTE(SUBSTITUTE(LEFT(B200,45),"&amp;","y")," ","%20"),"#","")&amp;"%20-%20seguimiento"&amp;"&amp;dates="&amp;YEAR(IF(O200="",TODAY()+3,O200))&amp;RIGHT("0"&amp;MONTH(IF(O200="",TODAY()+3,O200)),2)&amp;RIGHT("0"&amp;DAY(IF(O200="",TODAY()+3,O200)),2)&amp;"/"&amp;YEAR(IF(O200="",TODAY()+4,O200+1))&amp;RIGHT("0"&amp;MONTH(IF(O200="",TODAY()+4,O200+1)),2)&amp;RIGHT("0"&amp;DAY(IF(O200="",TODAY()+4,O200+1)),2),"📅 Agendar"))</f>
        <v/>
      </c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9" t="n"/>
      <c r="L201" s="19" t="n"/>
      <c r="M201" s="18" t="n"/>
      <c r="N201" s="18" t="n"/>
      <c r="O201" s="19" t="n"/>
      <c r="P201" s="18">
        <f>IF(L201="","",TODAY()-L201)</f>
        <v/>
      </c>
      <c r="Q201" s="18" t="n"/>
      <c r="R201" s="18" t="n"/>
      <c r="S201" s="18" t="n"/>
      <c r="T201" s="18" t="n"/>
      <c r="U201" s="18" t="n"/>
      <c r="V201" s="20">
        <f>IF(A201="","",HYPERLINK("https://calendar.google.com/calendar/render?action=TEMPLATE&amp;text="&amp;"Racksa%3A%20"&amp;SUBSTITUTE(SUBSTITUTE(SUBSTITUTE(LEFT(B201,45),"&amp;","y")," ","%20"),"#","")&amp;"%20-%20seguimiento"&amp;"&amp;dates="&amp;YEAR(IF(O201="",TODAY()+3,O201))&amp;RIGHT("0"&amp;MONTH(IF(O201="",TODAY()+3,O201)),2)&amp;RIGHT("0"&amp;DAY(IF(O201="",TODAY()+3,O201)),2)&amp;"/"&amp;YEAR(IF(O201="",TODAY()+4,O201+1))&amp;RIGHT("0"&amp;MONTH(IF(O201="",TODAY()+4,O201+1)),2)&amp;RIGHT("0"&amp;DAY(IF(O201="",TODAY()+4,O201+1)),2),"📅 Agendar"))</f>
        <v/>
      </c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9" t="n"/>
      <c r="L202" s="19" t="n"/>
      <c r="M202" s="18" t="n"/>
      <c r="N202" s="18" t="n"/>
      <c r="O202" s="19" t="n"/>
      <c r="P202" s="18">
        <f>IF(L202="","",TODAY()-L202)</f>
        <v/>
      </c>
      <c r="Q202" s="18" t="n"/>
      <c r="R202" s="18" t="n"/>
      <c r="S202" s="18" t="n"/>
      <c r="T202" s="18" t="n"/>
      <c r="U202" s="18" t="n"/>
      <c r="V202" s="20">
        <f>IF(A202="","",HYPERLINK("https://calendar.google.com/calendar/render?action=TEMPLATE&amp;text="&amp;"Racksa%3A%20"&amp;SUBSTITUTE(SUBSTITUTE(SUBSTITUTE(LEFT(B202,45),"&amp;","y")," ","%20"),"#","")&amp;"%20-%20seguimiento"&amp;"&amp;dates="&amp;YEAR(IF(O202="",TODAY()+3,O202))&amp;RIGHT("0"&amp;MONTH(IF(O202="",TODAY()+3,O202)),2)&amp;RIGHT("0"&amp;DAY(IF(O202="",TODAY()+3,O202)),2)&amp;"/"&amp;YEAR(IF(O202="",TODAY()+4,O202+1))&amp;RIGHT("0"&amp;MONTH(IF(O202="",TODAY()+4,O202+1)),2)&amp;RIGHT("0"&amp;DAY(IF(O202="",TODAY()+4,O202+1)),2),"📅 Agendar"))</f>
        <v/>
      </c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9" t="n"/>
      <c r="L203" s="19" t="n"/>
      <c r="M203" s="18" t="n"/>
      <c r="N203" s="18" t="n"/>
      <c r="O203" s="19" t="n"/>
      <c r="P203" s="18">
        <f>IF(L203="","",TODAY()-L203)</f>
        <v/>
      </c>
      <c r="Q203" s="18" t="n"/>
      <c r="R203" s="18" t="n"/>
      <c r="S203" s="18" t="n"/>
      <c r="T203" s="18" t="n"/>
      <c r="U203" s="18" t="n"/>
      <c r="V203" s="20">
        <f>IF(A203="","",HYPERLINK("https://calendar.google.com/calendar/render?action=TEMPLATE&amp;text="&amp;"Racksa%3A%20"&amp;SUBSTITUTE(SUBSTITUTE(SUBSTITUTE(LEFT(B203,45),"&amp;","y")," ","%20"),"#","")&amp;"%20-%20seguimiento"&amp;"&amp;dates="&amp;YEAR(IF(O203="",TODAY()+3,O203))&amp;RIGHT("0"&amp;MONTH(IF(O203="",TODAY()+3,O203)),2)&amp;RIGHT("0"&amp;DAY(IF(O203="",TODAY()+3,O203)),2)&amp;"/"&amp;YEAR(IF(O203="",TODAY()+4,O203+1))&amp;RIGHT("0"&amp;MONTH(IF(O203="",TODAY()+4,O203+1)),2)&amp;RIGHT("0"&amp;DAY(IF(O203="",TODAY()+4,O203+1)),2),"📅 Agendar"))</f>
        <v/>
      </c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9" t="n"/>
      <c r="L204" s="19" t="n"/>
      <c r="M204" s="18" t="n"/>
      <c r="N204" s="18" t="n"/>
      <c r="O204" s="19" t="n"/>
      <c r="P204" s="18">
        <f>IF(L204="","",TODAY()-L204)</f>
        <v/>
      </c>
      <c r="Q204" s="18" t="n"/>
      <c r="R204" s="18" t="n"/>
      <c r="S204" s="18" t="n"/>
      <c r="T204" s="18" t="n"/>
      <c r="U204" s="18" t="n"/>
      <c r="V204" s="20">
        <f>IF(A204="","",HYPERLINK("https://calendar.google.com/calendar/render?action=TEMPLATE&amp;text="&amp;"Racksa%3A%20"&amp;SUBSTITUTE(SUBSTITUTE(SUBSTITUTE(LEFT(B204,45),"&amp;","y")," ","%20"),"#","")&amp;"%20-%20seguimiento"&amp;"&amp;dates="&amp;YEAR(IF(O204="",TODAY()+3,O204))&amp;RIGHT("0"&amp;MONTH(IF(O204="",TODAY()+3,O204)),2)&amp;RIGHT("0"&amp;DAY(IF(O204="",TODAY()+3,O204)),2)&amp;"/"&amp;YEAR(IF(O204="",TODAY()+4,O204+1))&amp;RIGHT("0"&amp;MONTH(IF(O204="",TODAY()+4,O204+1)),2)&amp;RIGHT("0"&amp;DAY(IF(O204="",TODAY()+4,O204+1)),2),"📅 Agendar"))</f>
        <v/>
      </c>
    </row>
    <row r="205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9" t="n"/>
      <c r="L205" s="19" t="n"/>
      <c r="M205" s="18" t="n"/>
      <c r="N205" s="18" t="n"/>
      <c r="O205" s="19" t="n"/>
      <c r="P205" s="18">
        <f>IF(L205="","",TODAY()-L205)</f>
        <v/>
      </c>
      <c r="Q205" s="18" t="n"/>
      <c r="R205" s="18" t="n"/>
      <c r="S205" s="18" t="n"/>
      <c r="T205" s="18" t="n"/>
      <c r="U205" s="18" t="n"/>
      <c r="V205" s="20">
        <f>IF(A205="","",HYPERLINK("https://calendar.google.com/calendar/render?action=TEMPLATE&amp;text="&amp;"Racksa%3A%20"&amp;SUBSTITUTE(SUBSTITUTE(SUBSTITUTE(LEFT(B205,45),"&amp;","y")," ","%20"),"#","")&amp;"%20-%20seguimiento"&amp;"&amp;dates="&amp;YEAR(IF(O205="",TODAY()+3,O205))&amp;RIGHT("0"&amp;MONTH(IF(O205="",TODAY()+3,O205)),2)&amp;RIGHT("0"&amp;DAY(IF(O205="",TODAY()+3,O205)),2)&amp;"/"&amp;YEAR(IF(O205="",TODAY()+4,O205+1))&amp;RIGHT("0"&amp;MONTH(IF(O205="",TODAY()+4,O205+1)),2)&amp;RIGHT("0"&amp;DAY(IF(O205="",TODAY()+4,O205+1)),2),"📅 Agendar"))</f>
        <v/>
      </c>
    </row>
    <row r="206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9" t="n"/>
      <c r="L206" s="19" t="n"/>
      <c r="M206" s="18" t="n"/>
      <c r="N206" s="18" t="n"/>
      <c r="O206" s="19" t="n"/>
      <c r="P206" s="18">
        <f>IF(L206="","",TODAY()-L206)</f>
        <v/>
      </c>
      <c r="Q206" s="18" t="n"/>
      <c r="R206" s="18" t="n"/>
      <c r="S206" s="18" t="n"/>
      <c r="T206" s="18" t="n"/>
      <c r="U206" s="18" t="n"/>
      <c r="V206" s="20">
        <f>IF(A206="","",HYPERLINK("https://calendar.google.com/calendar/render?action=TEMPLATE&amp;text="&amp;"Racksa%3A%20"&amp;SUBSTITUTE(SUBSTITUTE(SUBSTITUTE(LEFT(B206,45),"&amp;","y")," ","%20"),"#","")&amp;"%20-%20seguimiento"&amp;"&amp;dates="&amp;YEAR(IF(O206="",TODAY()+3,O206))&amp;RIGHT("0"&amp;MONTH(IF(O206="",TODAY()+3,O206)),2)&amp;RIGHT("0"&amp;DAY(IF(O206="",TODAY()+3,O206)),2)&amp;"/"&amp;YEAR(IF(O206="",TODAY()+4,O206+1))&amp;RIGHT("0"&amp;MONTH(IF(O206="",TODAY()+4,O206+1)),2)&amp;RIGHT("0"&amp;DAY(IF(O206="",TODAY()+4,O206+1)),2),"📅 Agendar"))</f>
        <v/>
      </c>
    </row>
    <row r="207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9" t="n"/>
      <c r="L207" s="19" t="n"/>
      <c r="M207" s="18" t="n"/>
      <c r="N207" s="18" t="n"/>
      <c r="O207" s="19" t="n"/>
      <c r="P207" s="18">
        <f>IF(L207="","",TODAY()-L207)</f>
        <v/>
      </c>
      <c r="Q207" s="18" t="n"/>
      <c r="R207" s="18" t="n"/>
      <c r="S207" s="18" t="n"/>
      <c r="T207" s="18" t="n"/>
      <c r="U207" s="18" t="n"/>
      <c r="V207" s="20">
        <f>IF(A207="","",HYPERLINK("https://calendar.google.com/calendar/render?action=TEMPLATE&amp;text="&amp;"Racksa%3A%20"&amp;SUBSTITUTE(SUBSTITUTE(SUBSTITUTE(LEFT(B207,45),"&amp;","y")," ","%20"),"#","")&amp;"%20-%20seguimiento"&amp;"&amp;dates="&amp;YEAR(IF(O207="",TODAY()+3,O207))&amp;RIGHT("0"&amp;MONTH(IF(O207="",TODAY()+3,O207)),2)&amp;RIGHT("0"&amp;DAY(IF(O207="",TODAY()+3,O207)),2)&amp;"/"&amp;YEAR(IF(O207="",TODAY()+4,O207+1))&amp;RIGHT("0"&amp;MONTH(IF(O207="",TODAY()+4,O207+1)),2)&amp;RIGHT("0"&amp;DAY(IF(O207="",TODAY()+4,O207+1)),2),"📅 Agendar"))</f>
        <v/>
      </c>
    </row>
    <row r="208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9" t="n"/>
      <c r="L208" s="19" t="n"/>
      <c r="M208" s="18" t="n"/>
      <c r="N208" s="18" t="n"/>
      <c r="O208" s="19" t="n"/>
      <c r="P208" s="18">
        <f>IF(L208="","",TODAY()-L208)</f>
        <v/>
      </c>
      <c r="Q208" s="18" t="n"/>
      <c r="R208" s="18" t="n"/>
      <c r="S208" s="18" t="n"/>
      <c r="T208" s="18" t="n"/>
      <c r="U208" s="18" t="n"/>
      <c r="V208" s="20">
        <f>IF(A208="","",HYPERLINK("https://calendar.google.com/calendar/render?action=TEMPLATE&amp;text="&amp;"Racksa%3A%20"&amp;SUBSTITUTE(SUBSTITUTE(SUBSTITUTE(LEFT(B208,45),"&amp;","y")," ","%20"),"#","")&amp;"%20-%20seguimiento"&amp;"&amp;dates="&amp;YEAR(IF(O208="",TODAY()+3,O208))&amp;RIGHT("0"&amp;MONTH(IF(O208="",TODAY()+3,O208)),2)&amp;RIGHT("0"&amp;DAY(IF(O208="",TODAY()+3,O208)),2)&amp;"/"&amp;YEAR(IF(O208="",TODAY()+4,O208+1))&amp;RIGHT("0"&amp;MONTH(IF(O208="",TODAY()+4,O208+1)),2)&amp;RIGHT("0"&amp;DAY(IF(O208="",TODAY()+4,O208+1)),2),"📅 Agendar"))</f>
        <v/>
      </c>
    </row>
    <row r="209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9" t="n"/>
      <c r="L209" s="19" t="n"/>
      <c r="M209" s="18" t="n"/>
      <c r="N209" s="18" t="n"/>
      <c r="O209" s="19" t="n"/>
      <c r="P209" s="18">
        <f>IF(L209="","",TODAY()-L209)</f>
        <v/>
      </c>
      <c r="Q209" s="18" t="n"/>
      <c r="R209" s="18" t="n"/>
      <c r="S209" s="18" t="n"/>
      <c r="T209" s="18" t="n"/>
      <c r="U209" s="18" t="n"/>
      <c r="V209" s="20">
        <f>IF(A209="","",HYPERLINK("https://calendar.google.com/calendar/render?action=TEMPLATE&amp;text="&amp;"Racksa%3A%20"&amp;SUBSTITUTE(SUBSTITUTE(SUBSTITUTE(LEFT(B209,45),"&amp;","y")," ","%20"),"#","")&amp;"%20-%20seguimiento"&amp;"&amp;dates="&amp;YEAR(IF(O209="",TODAY()+3,O209))&amp;RIGHT("0"&amp;MONTH(IF(O209="",TODAY()+3,O209)),2)&amp;RIGHT("0"&amp;DAY(IF(O209="",TODAY()+3,O209)),2)&amp;"/"&amp;YEAR(IF(O209="",TODAY()+4,O209+1))&amp;RIGHT("0"&amp;MONTH(IF(O209="",TODAY()+4,O209+1)),2)&amp;RIGHT("0"&amp;DAY(IF(O209="",TODAY()+4,O209+1)),2),"📅 Agendar"))</f>
        <v/>
      </c>
    </row>
    <row r="210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9" t="n"/>
      <c r="L210" s="19" t="n"/>
      <c r="M210" s="18" t="n"/>
      <c r="N210" s="18" t="n"/>
      <c r="O210" s="19" t="n"/>
      <c r="P210" s="18">
        <f>IF(L210="","",TODAY()-L210)</f>
        <v/>
      </c>
      <c r="Q210" s="18" t="n"/>
      <c r="R210" s="18" t="n"/>
      <c r="S210" s="18" t="n"/>
      <c r="T210" s="18" t="n"/>
      <c r="U210" s="18" t="n"/>
      <c r="V210" s="20">
        <f>IF(A210="","",HYPERLINK("https://calendar.google.com/calendar/render?action=TEMPLATE&amp;text="&amp;"Racksa%3A%20"&amp;SUBSTITUTE(SUBSTITUTE(SUBSTITUTE(LEFT(B210,45),"&amp;","y")," ","%20"),"#","")&amp;"%20-%20seguimiento"&amp;"&amp;dates="&amp;YEAR(IF(O210="",TODAY()+3,O210))&amp;RIGHT("0"&amp;MONTH(IF(O210="",TODAY()+3,O210)),2)&amp;RIGHT("0"&amp;DAY(IF(O210="",TODAY()+3,O210)),2)&amp;"/"&amp;YEAR(IF(O210="",TODAY()+4,O210+1))&amp;RIGHT("0"&amp;MONTH(IF(O210="",TODAY()+4,O210+1)),2)&amp;RIGHT("0"&amp;DAY(IF(O210="",TODAY()+4,O210+1)),2),"📅 Agendar"))</f>
        <v/>
      </c>
    </row>
    <row r="211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9" t="n"/>
      <c r="L211" s="19" t="n"/>
      <c r="M211" s="18" t="n"/>
      <c r="N211" s="18" t="n"/>
      <c r="O211" s="19" t="n"/>
      <c r="P211" s="18">
        <f>IF(L211="","",TODAY()-L211)</f>
        <v/>
      </c>
      <c r="Q211" s="18" t="n"/>
      <c r="R211" s="18" t="n"/>
      <c r="S211" s="18" t="n"/>
      <c r="T211" s="18" t="n"/>
      <c r="U211" s="18" t="n"/>
      <c r="V211" s="20">
        <f>IF(A211="","",HYPERLINK("https://calendar.google.com/calendar/render?action=TEMPLATE&amp;text="&amp;"Racksa%3A%20"&amp;SUBSTITUTE(SUBSTITUTE(SUBSTITUTE(LEFT(B211,45),"&amp;","y")," ","%20"),"#","")&amp;"%20-%20seguimiento"&amp;"&amp;dates="&amp;YEAR(IF(O211="",TODAY()+3,O211))&amp;RIGHT("0"&amp;MONTH(IF(O211="",TODAY()+3,O211)),2)&amp;RIGHT("0"&amp;DAY(IF(O211="",TODAY()+3,O211)),2)&amp;"/"&amp;YEAR(IF(O211="",TODAY()+4,O211+1))&amp;RIGHT("0"&amp;MONTH(IF(O211="",TODAY()+4,O211+1)),2)&amp;RIGHT("0"&amp;DAY(IF(O211="",TODAY()+4,O211+1)),2),"📅 Agendar"))</f>
        <v/>
      </c>
    </row>
    <row r="212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9" t="n"/>
      <c r="L212" s="19" t="n"/>
      <c r="M212" s="18" t="n"/>
      <c r="N212" s="18" t="n"/>
      <c r="O212" s="19" t="n"/>
      <c r="P212" s="18">
        <f>IF(L212="","",TODAY()-L212)</f>
        <v/>
      </c>
      <c r="Q212" s="18" t="n"/>
      <c r="R212" s="18" t="n"/>
      <c r="S212" s="18" t="n"/>
      <c r="T212" s="18" t="n"/>
      <c r="U212" s="18" t="n"/>
      <c r="V212" s="20">
        <f>IF(A212="","",HYPERLINK("https://calendar.google.com/calendar/render?action=TEMPLATE&amp;text="&amp;"Racksa%3A%20"&amp;SUBSTITUTE(SUBSTITUTE(SUBSTITUTE(LEFT(B212,45),"&amp;","y")," ","%20"),"#","")&amp;"%20-%20seguimiento"&amp;"&amp;dates="&amp;YEAR(IF(O212="",TODAY()+3,O212))&amp;RIGHT("0"&amp;MONTH(IF(O212="",TODAY()+3,O212)),2)&amp;RIGHT("0"&amp;DAY(IF(O212="",TODAY()+3,O212)),2)&amp;"/"&amp;YEAR(IF(O212="",TODAY()+4,O212+1))&amp;RIGHT("0"&amp;MONTH(IF(O212="",TODAY()+4,O212+1)),2)&amp;RIGHT("0"&amp;DAY(IF(O212="",TODAY()+4,O212+1)),2),"📅 Agendar"))</f>
        <v/>
      </c>
    </row>
    <row r="213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9" t="n"/>
      <c r="L213" s="19" t="n"/>
      <c r="M213" s="18" t="n"/>
      <c r="N213" s="18" t="n"/>
      <c r="O213" s="19" t="n"/>
      <c r="P213" s="18">
        <f>IF(L213="","",TODAY()-L213)</f>
        <v/>
      </c>
      <c r="Q213" s="18" t="n"/>
      <c r="R213" s="18" t="n"/>
      <c r="S213" s="18" t="n"/>
      <c r="T213" s="18" t="n"/>
      <c r="U213" s="18" t="n"/>
      <c r="V213" s="20">
        <f>IF(A213="","",HYPERLINK("https://calendar.google.com/calendar/render?action=TEMPLATE&amp;text="&amp;"Racksa%3A%20"&amp;SUBSTITUTE(SUBSTITUTE(SUBSTITUTE(LEFT(B213,45),"&amp;","y")," ","%20"),"#","")&amp;"%20-%20seguimiento"&amp;"&amp;dates="&amp;YEAR(IF(O213="",TODAY()+3,O213))&amp;RIGHT("0"&amp;MONTH(IF(O213="",TODAY()+3,O213)),2)&amp;RIGHT("0"&amp;DAY(IF(O213="",TODAY()+3,O213)),2)&amp;"/"&amp;YEAR(IF(O213="",TODAY()+4,O213+1))&amp;RIGHT("0"&amp;MONTH(IF(O213="",TODAY()+4,O213+1)),2)&amp;RIGHT("0"&amp;DAY(IF(O213="",TODAY()+4,O213+1)),2),"📅 Agendar"))</f>
        <v/>
      </c>
    </row>
    <row r="214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9" t="n"/>
      <c r="L214" s="19" t="n"/>
      <c r="M214" s="18" t="n"/>
      <c r="N214" s="18" t="n"/>
      <c r="O214" s="19" t="n"/>
      <c r="P214" s="18">
        <f>IF(L214="","",TODAY()-L214)</f>
        <v/>
      </c>
      <c r="Q214" s="18" t="n"/>
      <c r="R214" s="18" t="n"/>
      <c r="S214" s="18" t="n"/>
      <c r="T214" s="18" t="n"/>
      <c r="U214" s="18" t="n"/>
      <c r="V214" s="20">
        <f>IF(A214="","",HYPERLINK("https://calendar.google.com/calendar/render?action=TEMPLATE&amp;text="&amp;"Racksa%3A%20"&amp;SUBSTITUTE(SUBSTITUTE(SUBSTITUTE(LEFT(B214,45),"&amp;","y")," ","%20"),"#","")&amp;"%20-%20seguimiento"&amp;"&amp;dates="&amp;YEAR(IF(O214="",TODAY()+3,O214))&amp;RIGHT("0"&amp;MONTH(IF(O214="",TODAY()+3,O214)),2)&amp;RIGHT("0"&amp;DAY(IF(O214="",TODAY()+3,O214)),2)&amp;"/"&amp;YEAR(IF(O214="",TODAY()+4,O214+1))&amp;RIGHT("0"&amp;MONTH(IF(O214="",TODAY()+4,O214+1)),2)&amp;RIGHT("0"&amp;DAY(IF(O214="",TODAY()+4,O214+1)),2),"📅 Agendar"))</f>
        <v/>
      </c>
    </row>
    <row r="215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9" t="n"/>
      <c r="L215" s="19" t="n"/>
      <c r="M215" s="18" t="n"/>
      <c r="N215" s="18" t="n"/>
      <c r="O215" s="19" t="n"/>
      <c r="P215" s="18">
        <f>IF(L215="","",TODAY()-L215)</f>
        <v/>
      </c>
      <c r="Q215" s="18" t="n"/>
      <c r="R215" s="18" t="n"/>
      <c r="S215" s="18" t="n"/>
      <c r="T215" s="18" t="n"/>
      <c r="U215" s="18" t="n"/>
      <c r="V215" s="20">
        <f>IF(A215="","",HYPERLINK("https://calendar.google.com/calendar/render?action=TEMPLATE&amp;text="&amp;"Racksa%3A%20"&amp;SUBSTITUTE(SUBSTITUTE(SUBSTITUTE(LEFT(B215,45),"&amp;","y")," ","%20"),"#","")&amp;"%20-%20seguimiento"&amp;"&amp;dates="&amp;YEAR(IF(O215="",TODAY()+3,O215))&amp;RIGHT("0"&amp;MONTH(IF(O215="",TODAY()+3,O215)),2)&amp;RIGHT("0"&amp;DAY(IF(O215="",TODAY()+3,O215)),2)&amp;"/"&amp;YEAR(IF(O215="",TODAY()+4,O215+1))&amp;RIGHT("0"&amp;MONTH(IF(O215="",TODAY()+4,O215+1)),2)&amp;RIGHT("0"&amp;DAY(IF(O215="",TODAY()+4,O215+1)),2),"📅 Agendar"))</f>
        <v/>
      </c>
    </row>
    <row r="216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9" t="n"/>
      <c r="L216" s="19" t="n"/>
      <c r="M216" s="18" t="n"/>
      <c r="N216" s="18" t="n"/>
      <c r="O216" s="19" t="n"/>
      <c r="P216" s="18">
        <f>IF(L216="","",TODAY()-L216)</f>
        <v/>
      </c>
      <c r="Q216" s="18" t="n"/>
      <c r="R216" s="18" t="n"/>
      <c r="S216" s="18" t="n"/>
      <c r="T216" s="18" t="n"/>
      <c r="U216" s="18" t="n"/>
      <c r="V216" s="20">
        <f>IF(A216="","",HYPERLINK("https://calendar.google.com/calendar/render?action=TEMPLATE&amp;text="&amp;"Racksa%3A%20"&amp;SUBSTITUTE(SUBSTITUTE(SUBSTITUTE(LEFT(B216,45),"&amp;","y")," ","%20"),"#","")&amp;"%20-%20seguimiento"&amp;"&amp;dates="&amp;YEAR(IF(O216="",TODAY()+3,O216))&amp;RIGHT("0"&amp;MONTH(IF(O216="",TODAY()+3,O216)),2)&amp;RIGHT("0"&amp;DAY(IF(O216="",TODAY()+3,O216)),2)&amp;"/"&amp;YEAR(IF(O216="",TODAY()+4,O216+1))&amp;RIGHT("0"&amp;MONTH(IF(O216="",TODAY()+4,O216+1)),2)&amp;RIGHT("0"&amp;DAY(IF(O216="",TODAY()+4,O216+1)),2),"📅 Agendar"))</f>
        <v/>
      </c>
    </row>
    <row r="217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9" t="n"/>
      <c r="L217" s="19" t="n"/>
      <c r="M217" s="18" t="n"/>
      <c r="N217" s="18" t="n"/>
      <c r="O217" s="19" t="n"/>
      <c r="P217" s="18">
        <f>IF(L217="","",TODAY()-L217)</f>
        <v/>
      </c>
      <c r="Q217" s="18" t="n"/>
      <c r="R217" s="18" t="n"/>
      <c r="S217" s="18" t="n"/>
      <c r="T217" s="18" t="n"/>
      <c r="U217" s="18" t="n"/>
      <c r="V217" s="20">
        <f>IF(A217="","",HYPERLINK("https://calendar.google.com/calendar/render?action=TEMPLATE&amp;text="&amp;"Racksa%3A%20"&amp;SUBSTITUTE(SUBSTITUTE(SUBSTITUTE(LEFT(B217,45),"&amp;","y")," ","%20"),"#","")&amp;"%20-%20seguimiento"&amp;"&amp;dates="&amp;YEAR(IF(O217="",TODAY()+3,O217))&amp;RIGHT("0"&amp;MONTH(IF(O217="",TODAY()+3,O217)),2)&amp;RIGHT("0"&amp;DAY(IF(O217="",TODAY()+3,O217)),2)&amp;"/"&amp;YEAR(IF(O217="",TODAY()+4,O217+1))&amp;RIGHT("0"&amp;MONTH(IF(O217="",TODAY()+4,O217+1)),2)&amp;RIGHT("0"&amp;DAY(IF(O217="",TODAY()+4,O217+1)),2),"📅 Agendar"))</f>
        <v/>
      </c>
    </row>
    <row r="218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9" t="n"/>
      <c r="L218" s="19" t="n"/>
      <c r="M218" s="18" t="n"/>
      <c r="N218" s="18" t="n"/>
      <c r="O218" s="19" t="n"/>
      <c r="P218" s="18">
        <f>IF(L218="","",TODAY()-L218)</f>
        <v/>
      </c>
      <c r="Q218" s="18" t="n"/>
      <c r="R218" s="18" t="n"/>
      <c r="S218" s="18" t="n"/>
      <c r="T218" s="18" t="n"/>
      <c r="U218" s="18" t="n"/>
      <c r="V218" s="20">
        <f>IF(A218="","",HYPERLINK("https://calendar.google.com/calendar/render?action=TEMPLATE&amp;text="&amp;"Racksa%3A%20"&amp;SUBSTITUTE(SUBSTITUTE(SUBSTITUTE(LEFT(B218,45),"&amp;","y")," ","%20"),"#","")&amp;"%20-%20seguimiento"&amp;"&amp;dates="&amp;YEAR(IF(O218="",TODAY()+3,O218))&amp;RIGHT("0"&amp;MONTH(IF(O218="",TODAY()+3,O218)),2)&amp;RIGHT("0"&amp;DAY(IF(O218="",TODAY()+3,O218)),2)&amp;"/"&amp;YEAR(IF(O218="",TODAY()+4,O218+1))&amp;RIGHT("0"&amp;MONTH(IF(O218="",TODAY()+4,O218+1)),2)&amp;RIGHT("0"&amp;DAY(IF(O218="",TODAY()+4,O218+1)),2),"📅 Agendar"))</f>
        <v/>
      </c>
    </row>
    <row r="219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9" t="n"/>
      <c r="L219" s="19" t="n"/>
      <c r="M219" s="18" t="n"/>
      <c r="N219" s="18" t="n"/>
      <c r="O219" s="19" t="n"/>
      <c r="P219" s="18">
        <f>IF(L219="","",TODAY()-L219)</f>
        <v/>
      </c>
      <c r="Q219" s="18" t="n"/>
      <c r="R219" s="18" t="n"/>
      <c r="S219" s="18" t="n"/>
      <c r="T219" s="18" t="n"/>
      <c r="U219" s="18" t="n"/>
      <c r="V219" s="20">
        <f>IF(A219="","",HYPERLINK("https://calendar.google.com/calendar/render?action=TEMPLATE&amp;text="&amp;"Racksa%3A%20"&amp;SUBSTITUTE(SUBSTITUTE(SUBSTITUTE(LEFT(B219,45),"&amp;","y")," ","%20"),"#","")&amp;"%20-%20seguimiento"&amp;"&amp;dates="&amp;YEAR(IF(O219="",TODAY()+3,O219))&amp;RIGHT("0"&amp;MONTH(IF(O219="",TODAY()+3,O219)),2)&amp;RIGHT("0"&amp;DAY(IF(O219="",TODAY()+3,O219)),2)&amp;"/"&amp;YEAR(IF(O219="",TODAY()+4,O219+1))&amp;RIGHT("0"&amp;MONTH(IF(O219="",TODAY()+4,O219+1)),2)&amp;RIGHT("0"&amp;DAY(IF(O219="",TODAY()+4,O219+1)),2),"📅 Agendar"))</f>
        <v/>
      </c>
    </row>
    <row r="220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9" t="n"/>
      <c r="L220" s="19" t="n"/>
      <c r="M220" s="18" t="n"/>
      <c r="N220" s="18" t="n"/>
      <c r="O220" s="19" t="n"/>
      <c r="P220" s="18">
        <f>IF(L220="","",TODAY()-L220)</f>
        <v/>
      </c>
      <c r="Q220" s="18" t="n"/>
      <c r="R220" s="18" t="n"/>
      <c r="S220" s="18" t="n"/>
      <c r="T220" s="18" t="n"/>
      <c r="U220" s="18" t="n"/>
      <c r="V220" s="20">
        <f>IF(A220="","",HYPERLINK("https://calendar.google.com/calendar/render?action=TEMPLATE&amp;text="&amp;"Racksa%3A%20"&amp;SUBSTITUTE(SUBSTITUTE(SUBSTITUTE(LEFT(B220,45),"&amp;","y")," ","%20"),"#","")&amp;"%20-%20seguimiento"&amp;"&amp;dates="&amp;YEAR(IF(O220="",TODAY()+3,O220))&amp;RIGHT("0"&amp;MONTH(IF(O220="",TODAY()+3,O220)),2)&amp;RIGHT("0"&amp;DAY(IF(O220="",TODAY()+3,O220)),2)&amp;"/"&amp;YEAR(IF(O220="",TODAY()+4,O220+1))&amp;RIGHT("0"&amp;MONTH(IF(O220="",TODAY()+4,O220+1)),2)&amp;RIGHT("0"&amp;DAY(IF(O220="",TODAY()+4,O220+1)),2),"📅 Agendar"))</f>
        <v/>
      </c>
    </row>
    <row r="221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9" t="n"/>
      <c r="L221" s="19" t="n"/>
      <c r="M221" s="18" t="n"/>
      <c r="N221" s="18" t="n"/>
      <c r="O221" s="19" t="n"/>
      <c r="P221" s="18">
        <f>IF(L221="","",TODAY()-L221)</f>
        <v/>
      </c>
      <c r="Q221" s="18" t="n"/>
      <c r="R221" s="18" t="n"/>
      <c r="S221" s="18" t="n"/>
      <c r="T221" s="18" t="n"/>
      <c r="U221" s="18" t="n"/>
      <c r="V221" s="20">
        <f>IF(A221="","",HYPERLINK("https://calendar.google.com/calendar/render?action=TEMPLATE&amp;text="&amp;"Racksa%3A%20"&amp;SUBSTITUTE(SUBSTITUTE(SUBSTITUTE(LEFT(B221,45),"&amp;","y")," ","%20"),"#","")&amp;"%20-%20seguimiento"&amp;"&amp;dates="&amp;YEAR(IF(O221="",TODAY()+3,O221))&amp;RIGHT("0"&amp;MONTH(IF(O221="",TODAY()+3,O221)),2)&amp;RIGHT("0"&amp;DAY(IF(O221="",TODAY()+3,O221)),2)&amp;"/"&amp;YEAR(IF(O221="",TODAY()+4,O221+1))&amp;RIGHT("0"&amp;MONTH(IF(O221="",TODAY()+4,O221+1)),2)&amp;RIGHT("0"&amp;DAY(IF(O221="",TODAY()+4,O221+1)),2),"📅 Agendar"))</f>
        <v/>
      </c>
    </row>
    <row r="222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9" t="n"/>
      <c r="L222" s="19" t="n"/>
      <c r="M222" s="18" t="n"/>
      <c r="N222" s="18" t="n"/>
      <c r="O222" s="19" t="n"/>
      <c r="P222" s="18">
        <f>IF(L222="","",TODAY()-L222)</f>
        <v/>
      </c>
      <c r="Q222" s="18" t="n"/>
      <c r="R222" s="18" t="n"/>
      <c r="S222" s="18" t="n"/>
      <c r="T222" s="18" t="n"/>
      <c r="U222" s="18" t="n"/>
      <c r="V222" s="20">
        <f>IF(A222="","",HYPERLINK("https://calendar.google.com/calendar/render?action=TEMPLATE&amp;text="&amp;"Racksa%3A%20"&amp;SUBSTITUTE(SUBSTITUTE(SUBSTITUTE(LEFT(B222,45),"&amp;","y")," ","%20"),"#","")&amp;"%20-%20seguimiento"&amp;"&amp;dates="&amp;YEAR(IF(O222="",TODAY()+3,O222))&amp;RIGHT("0"&amp;MONTH(IF(O222="",TODAY()+3,O222)),2)&amp;RIGHT("0"&amp;DAY(IF(O222="",TODAY()+3,O222)),2)&amp;"/"&amp;YEAR(IF(O222="",TODAY()+4,O222+1))&amp;RIGHT("0"&amp;MONTH(IF(O222="",TODAY()+4,O222+1)),2)&amp;RIGHT("0"&amp;DAY(IF(O222="",TODAY()+4,O222+1)),2),"📅 Agendar"))</f>
        <v/>
      </c>
    </row>
    <row r="223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9" t="n"/>
      <c r="L223" s="19" t="n"/>
      <c r="M223" s="18" t="n"/>
      <c r="N223" s="18" t="n"/>
      <c r="O223" s="19" t="n"/>
      <c r="P223" s="18">
        <f>IF(L223="","",TODAY()-L223)</f>
        <v/>
      </c>
      <c r="Q223" s="18" t="n"/>
      <c r="R223" s="18" t="n"/>
      <c r="S223" s="18" t="n"/>
      <c r="T223" s="18" t="n"/>
      <c r="U223" s="18" t="n"/>
      <c r="V223" s="20">
        <f>IF(A223="","",HYPERLINK("https://calendar.google.com/calendar/render?action=TEMPLATE&amp;text="&amp;"Racksa%3A%20"&amp;SUBSTITUTE(SUBSTITUTE(SUBSTITUTE(LEFT(B223,45),"&amp;","y")," ","%20"),"#","")&amp;"%20-%20seguimiento"&amp;"&amp;dates="&amp;YEAR(IF(O223="",TODAY()+3,O223))&amp;RIGHT("0"&amp;MONTH(IF(O223="",TODAY()+3,O223)),2)&amp;RIGHT("0"&amp;DAY(IF(O223="",TODAY()+3,O223)),2)&amp;"/"&amp;YEAR(IF(O223="",TODAY()+4,O223+1))&amp;RIGHT("0"&amp;MONTH(IF(O223="",TODAY()+4,O223+1)),2)&amp;RIGHT("0"&amp;DAY(IF(O223="",TODAY()+4,O223+1)),2),"📅 Agendar"))</f>
        <v/>
      </c>
    </row>
    <row r="224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9" t="n"/>
      <c r="L224" s="19" t="n"/>
      <c r="M224" s="18" t="n"/>
      <c r="N224" s="18" t="n"/>
      <c r="O224" s="19" t="n"/>
      <c r="P224" s="18">
        <f>IF(L224="","",TODAY()-L224)</f>
        <v/>
      </c>
      <c r="Q224" s="18" t="n"/>
      <c r="R224" s="18" t="n"/>
      <c r="S224" s="18" t="n"/>
      <c r="T224" s="18" t="n"/>
      <c r="U224" s="18" t="n"/>
      <c r="V224" s="20">
        <f>IF(A224="","",HYPERLINK("https://calendar.google.com/calendar/render?action=TEMPLATE&amp;text="&amp;"Racksa%3A%20"&amp;SUBSTITUTE(SUBSTITUTE(SUBSTITUTE(LEFT(B224,45),"&amp;","y")," ","%20"),"#","")&amp;"%20-%20seguimiento"&amp;"&amp;dates="&amp;YEAR(IF(O224="",TODAY()+3,O224))&amp;RIGHT("0"&amp;MONTH(IF(O224="",TODAY()+3,O224)),2)&amp;RIGHT("0"&amp;DAY(IF(O224="",TODAY()+3,O224)),2)&amp;"/"&amp;YEAR(IF(O224="",TODAY()+4,O224+1))&amp;RIGHT("0"&amp;MONTH(IF(O224="",TODAY()+4,O224+1)),2)&amp;RIGHT("0"&amp;DAY(IF(O224="",TODAY()+4,O224+1)),2),"📅 Agendar"))</f>
        <v/>
      </c>
    </row>
    <row r="225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9" t="n"/>
      <c r="L225" s="19" t="n"/>
      <c r="M225" s="18" t="n"/>
      <c r="N225" s="18" t="n"/>
      <c r="O225" s="19" t="n"/>
      <c r="P225" s="18">
        <f>IF(L225="","",TODAY()-L225)</f>
        <v/>
      </c>
      <c r="Q225" s="18" t="n"/>
      <c r="R225" s="18" t="n"/>
      <c r="S225" s="18" t="n"/>
      <c r="T225" s="18" t="n"/>
      <c r="U225" s="18" t="n"/>
      <c r="V225" s="20">
        <f>IF(A225="","",HYPERLINK("https://calendar.google.com/calendar/render?action=TEMPLATE&amp;text="&amp;"Racksa%3A%20"&amp;SUBSTITUTE(SUBSTITUTE(SUBSTITUTE(LEFT(B225,45),"&amp;","y")," ","%20"),"#","")&amp;"%20-%20seguimiento"&amp;"&amp;dates="&amp;YEAR(IF(O225="",TODAY()+3,O225))&amp;RIGHT("0"&amp;MONTH(IF(O225="",TODAY()+3,O225)),2)&amp;RIGHT("0"&amp;DAY(IF(O225="",TODAY()+3,O225)),2)&amp;"/"&amp;YEAR(IF(O225="",TODAY()+4,O225+1))&amp;RIGHT("0"&amp;MONTH(IF(O225="",TODAY()+4,O225+1)),2)&amp;RIGHT("0"&amp;DAY(IF(O225="",TODAY()+4,O225+1)),2),"📅 Agendar"))</f>
        <v/>
      </c>
    </row>
    <row r="226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9" t="n"/>
      <c r="L226" s="19" t="n"/>
      <c r="M226" s="18" t="n"/>
      <c r="N226" s="18" t="n"/>
      <c r="O226" s="19" t="n"/>
      <c r="P226" s="18">
        <f>IF(L226="","",TODAY()-L226)</f>
        <v/>
      </c>
      <c r="Q226" s="18" t="n"/>
      <c r="R226" s="18" t="n"/>
      <c r="S226" s="18" t="n"/>
      <c r="T226" s="18" t="n"/>
      <c r="U226" s="18" t="n"/>
      <c r="V226" s="20">
        <f>IF(A226="","",HYPERLINK("https://calendar.google.com/calendar/render?action=TEMPLATE&amp;text="&amp;"Racksa%3A%20"&amp;SUBSTITUTE(SUBSTITUTE(SUBSTITUTE(LEFT(B226,45),"&amp;","y")," ","%20"),"#","")&amp;"%20-%20seguimiento"&amp;"&amp;dates="&amp;YEAR(IF(O226="",TODAY()+3,O226))&amp;RIGHT("0"&amp;MONTH(IF(O226="",TODAY()+3,O226)),2)&amp;RIGHT("0"&amp;DAY(IF(O226="",TODAY()+3,O226)),2)&amp;"/"&amp;YEAR(IF(O226="",TODAY()+4,O226+1))&amp;RIGHT("0"&amp;MONTH(IF(O226="",TODAY()+4,O226+1)),2)&amp;RIGHT("0"&amp;DAY(IF(O226="",TODAY()+4,O226+1)),2),"📅 Agendar"))</f>
        <v/>
      </c>
    </row>
    <row r="227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9" t="n"/>
      <c r="L227" s="19" t="n"/>
      <c r="M227" s="18" t="n"/>
      <c r="N227" s="18" t="n"/>
      <c r="O227" s="19" t="n"/>
      <c r="P227" s="18">
        <f>IF(L227="","",TODAY()-L227)</f>
        <v/>
      </c>
      <c r="Q227" s="18" t="n"/>
      <c r="R227" s="18" t="n"/>
      <c r="S227" s="18" t="n"/>
      <c r="T227" s="18" t="n"/>
      <c r="U227" s="18" t="n"/>
      <c r="V227" s="20">
        <f>IF(A227="","",HYPERLINK("https://calendar.google.com/calendar/render?action=TEMPLATE&amp;text="&amp;"Racksa%3A%20"&amp;SUBSTITUTE(SUBSTITUTE(SUBSTITUTE(LEFT(B227,45),"&amp;","y")," ","%20"),"#","")&amp;"%20-%20seguimiento"&amp;"&amp;dates="&amp;YEAR(IF(O227="",TODAY()+3,O227))&amp;RIGHT("0"&amp;MONTH(IF(O227="",TODAY()+3,O227)),2)&amp;RIGHT("0"&amp;DAY(IF(O227="",TODAY()+3,O227)),2)&amp;"/"&amp;YEAR(IF(O227="",TODAY()+4,O227+1))&amp;RIGHT("0"&amp;MONTH(IF(O227="",TODAY()+4,O227+1)),2)&amp;RIGHT("0"&amp;DAY(IF(O227="",TODAY()+4,O227+1)),2),"📅 Agendar"))</f>
        <v/>
      </c>
    </row>
    <row r="228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9" t="n"/>
      <c r="L228" s="19" t="n"/>
      <c r="M228" s="18" t="n"/>
      <c r="N228" s="18" t="n"/>
      <c r="O228" s="19" t="n"/>
      <c r="P228" s="18">
        <f>IF(L228="","",TODAY()-L228)</f>
        <v/>
      </c>
      <c r="Q228" s="18" t="n"/>
      <c r="R228" s="18" t="n"/>
      <c r="S228" s="18" t="n"/>
      <c r="T228" s="18" t="n"/>
      <c r="U228" s="18" t="n"/>
      <c r="V228" s="20">
        <f>IF(A228="","",HYPERLINK("https://calendar.google.com/calendar/render?action=TEMPLATE&amp;text="&amp;"Racksa%3A%20"&amp;SUBSTITUTE(SUBSTITUTE(SUBSTITUTE(LEFT(B228,45),"&amp;","y")," ","%20"),"#","")&amp;"%20-%20seguimiento"&amp;"&amp;dates="&amp;YEAR(IF(O228="",TODAY()+3,O228))&amp;RIGHT("0"&amp;MONTH(IF(O228="",TODAY()+3,O228)),2)&amp;RIGHT("0"&amp;DAY(IF(O228="",TODAY()+3,O228)),2)&amp;"/"&amp;YEAR(IF(O228="",TODAY()+4,O228+1))&amp;RIGHT("0"&amp;MONTH(IF(O228="",TODAY()+4,O228+1)),2)&amp;RIGHT("0"&amp;DAY(IF(O228="",TODAY()+4,O228+1)),2),"📅 Agendar"))</f>
        <v/>
      </c>
    </row>
    <row r="229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9" t="n"/>
      <c r="L229" s="19" t="n"/>
      <c r="M229" s="18" t="n"/>
      <c r="N229" s="18" t="n"/>
      <c r="O229" s="19" t="n"/>
      <c r="P229" s="18">
        <f>IF(L229="","",TODAY()-L229)</f>
        <v/>
      </c>
      <c r="Q229" s="18" t="n"/>
      <c r="R229" s="18" t="n"/>
      <c r="S229" s="18" t="n"/>
      <c r="T229" s="18" t="n"/>
      <c r="U229" s="18" t="n"/>
      <c r="V229" s="20">
        <f>IF(A229="","",HYPERLINK("https://calendar.google.com/calendar/render?action=TEMPLATE&amp;text="&amp;"Racksa%3A%20"&amp;SUBSTITUTE(SUBSTITUTE(SUBSTITUTE(LEFT(B229,45),"&amp;","y")," ","%20"),"#","")&amp;"%20-%20seguimiento"&amp;"&amp;dates="&amp;YEAR(IF(O229="",TODAY()+3,O229))&amp;RIGHT("0"&amp;MONTH(IF(O229="",TODAY()+3,O229)),2)&amp;RIGHT("0"&amp;DAY(IF(O229="",TODAY()+3,O229)),2)&amp;"/"&amp;YEAR(IF(O229="",TODAY()+4,O229+1))&amp;RIGHT("0"&amp;MONTH(IF(O229="",TODAY()+4,O229+1)),2)&amp;RIGHT("0"&amp;DAY(IF(O229="",TODAY()+4,O229+1)),2),"📅 Agendar"))</f>
        <v/>
      </c>
    </row>
    <row r="230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9" t="n"/>
      <c r="L230" s="19" t="n"/>
      <c r="M230" s="18" t="n"/>
      <c r="N230" s="18" t="n"/>
      <c r="O230" s="19" t="n"/>
      <c r="P230" s="18">
        <f>IF(L230="","",TODAY()-L230)</f>
        <v/>
      </c>
      <c r="Q230" s="18" t="n"/>
      <c r="R230" s="18" t="n"/>
      <c r="S230" s="18" t="n"/>
      <c r="T230" s="18" t="n"/>
      <c r="U230" s="18" t="n"/>
      <c r="V230" s="20">
        <f>IF(A230="","",HYPERLINK("https://calendar.google.com/calendar/render?action=TEMPLATE&amp;text="&amp;"Racksa%3A%20"&amp;SUBSTITUTE(SUBSTITUTE(SUBSTITUTE(LEFT(B230,45),"&amp;","y")," ","%20"),"#","")&amp;"%20-%20seguimiento"&amp;"&amp;dates="&amp;YEAR(IF(O230="",TODAY()+3,O230))&amp;RIGHT("0"&amp;MONTH(IF(O230="",TODAY()+3,O230)),2)&amp;RIGHT("0"&amp;DAY(IF(O230="",TODAY()+3,O230)),2)&amp;"/"&amp;YEAR(IF(O230="",TODAY()+4,O230+1))&amp;RIGHT("0"&amp;MONTH(IF(O230="",TODAY()+4,O230+1)),2)&amp;RIGHT("0"&amp;DAY(IF(O230="",TODAY()+4,O230+1)),2),"📅 Agendar"))</f>
        <v/>
      </c>
    </row>
    <row r="231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9" t="n"/>
      <c r="L231" s="19" t="n"/>
      <c r="M231" s="18" t="n"/>
      <c r="N231" s="18" t="n"/>
      <c r="O231" s="19" t="n"/>
      <c r="P231" s="18">
        <f>IF(L231="","",TODAY()-L231)</f>
        <v/>
      </c>
      <c r="Q231" s="18" t="n"/>
      <c r="R231" s="18" t="n"/>
      <c r="S231" s="18" t="n"/>
      <c r="T231" s="18" t="n"/>
      <c r="U231" s="18" t="n"/>
      <c r="V231" s="20">
        <f>IF(A231="","",HYPERLINK("https://calendar.google.com/calendar/render?action=TEMPLATE&amp;text="&amp;"Racksa%3A%20"&amp;SUBSTITUTE(SUBSTITUTE(SUBSTITUTE(LEFT(B231,45),"&amp;","y")," ","%20"),"#","")&amp;"%20-%20seguimiento"&amp;"&amp;dates="&amp;YEAR(IF(O231="",TODAY()+3,O231))&amp;RIGHT("0"&amp;MONTH(IF(O231="",TODAY()+3,O231)),2)&amp;RIGHT("0"&amp;DAY(IF(O231="",TODAY()+3,O231)),2)&amp;"/"&amp;YEAR(IF(O231="",TODAY()+4,O231+1))&amp;RIGHT("0"&amp;MONTH(IF(O231="",TODAY()+4,O231+1)),2)&amp;RIGHT("0"&amp;DAY(IF(O231="",TODAY()+4,O231+1)),2),"📅 Agendar"))</f>
        <v/>
      </c>
    </row>
    <row r="232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9" t="n"/>
      <c r="L232" s="19" t="n"/>
      <c r="M232" s="18" t="n"/>
      <c r="N232" s="18" t="n"/>
      <c r="O232" s="19" t="n"/>
      <c r="P232" s="18">
        <f>IF(L232="","",TODAY()-L232)</f>
        <v/>
      </c>
      <c r="Q232" s="18" t="n"/>
      <c r="R232" s="18" t="n"/>
      <c r="S232" s="18" t="n"/>
      <c r="T232" s="18" t="n"/>
      <c r="U232" s="18" t="n"/>
      <c r="V232" s="20">
        <f>IF(A232="","",HYPERLINK("https://calendar.google.com/calendar/render?action=TEMPLATE&amp;text="&amp;"Racksa%3A%20"&amp;SUBSTITUTE(SUBSTITUTE(SUBSTITUTE(LEFT(B232,45),"&amp;","y")," ","%20"),"#","")&amp;"%20-%20seguimiento"&amp;"&amp;dates="&amp;YEAR(IF(O232="",TODAY()+3,O232))&amp;RIGHT("0"&amp;MONTH(IF(O232="",TODAY()+3,O232)),2)&amp;RIGHT("0"&amp;DAY(IF(O232="",TODAY()+3,O232)),2)&amp;"/"&amp;YEAR(IF(O232="",TODAY()+4,O232+1))&amp;RIGHT("0"&amp;MONTH(IF(O232="",TODAY()+4,O232+1)),2)&amp;RIGHT("0"&amp;DAY(IF(O232="",TODAY()+4,O232+1)),2),"📅 Agendar"))</f>
        <v/>
      </c>
    </row>
    <row r="233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9" t="n"/>
      <c r="L233" s="19" t="n"/>
      <c r="M233" s="18" t="n"/>
      <c r="N233" s="18" t="n"/>
      <c r="O233" s="19" t="n"/>
      <c r="P233" s="18">
        <f>IF(L233="","",TODAY()-L233)</f>
        <v/>
      </c>
      <c r="Q233" s="18" t="n"/>
      <c r="R233" s="18" t="n"/>
      <c r="S233" s="18" t="n"/>
      <c r="T233" s="18" t="n"/>
      <c r="U233" s="18" t="n"/>
      <c r="V233" s="20">
        <f>IF(A233="","",HYPERLINK("https://calendar.google.com/calendar/render?action=TEMPLATE&amp;text="&amp;"Racksa%3A%20"&amp;SUBSTITUTE(SUBSTITUTE(SUBSTITUTE(LEFT(B233,45),"&amp;","y")," ","%20"),"#","")&amp;"%20-%20seguimiento"&amp;"&amp;dates="&amp;YEAR(IF(O233="",TODAY()+3,O233))&amp;RIGHT("0"&amp;MONTH(IF(O233="",TODAY()+3,O233)),2)&amp;RIGHT("0"&amp;DAY(IF(O233="",TODAY()+3,O233)),2)&amp;"/"&amp;YEAR(IF(O233="",TODAY()+4,O233+1))&amp;RIGHT("0"&amp;MONTH(IF(O233="",TODAY()+4,O233+1)),2)&amp;RIGHT("0"&amp;DAY(IF(O233="",TODAY()+4,O233+1)),2),"📅 Agendar"))</f>
        <v/>
      </c>
    </row>
    <row r="234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9" t="n"/>
      <c r="L234" s="19" t="n"/>
      <c r="M234" s="18" t="n"/>
      <c r="N234" s="18" t="n"/>
      <c r="O234" s="19" t="n"/>
      <c r="P234" s="18">
        <f>IF(L234="","",TODAY()-L234)</f>
        <v/>
      </c>
      <c r="Q234" s="18" t="n"/>
      <c r="R234" s="18" t="n"/>
      <c r="S234" s="18" t="n"/>
      <c r="T234" s="18" t="n"/>
      <c r="U234" s="18" t="n"/>
      <c r="V234" s="20">
        <f>IF(A234="","",HYPERLINK("https://calendar.google.com/calendar/render?action=TEMPLATE&amp;text="&amp;"Racksa%3A%20"&amp;SUBSTITUTE(SUBSTITUTE(SUBSTITUTE(LEFT(B234,45),"&amp;","y")," ","%20"),"#","")&amp;"%20-%20seguimiento"&amp;"&amp;dates="&amp;YEAR(IF(O234="",TODAY()+3,O234))&amp;RIGHT("0"&amp;MONTH(IF(O234="",TODAY()+3,O234)),2)&amp;RIGHT("0"&amp;DAY(IF(O234="",TODAY()+3,O234)),2)&amp;"/"&amp;YEAR(IF(O234="",TODAY()+4,O234+1))&amp;RIGHT("0"&amp;MONTH(IF(O234="",TODAY()+4,O234+1)),2)&amp;RIGHT("0"&amp;DAY(IF(O234="",TODAY()+4,O234+1)),2),"📅 Agendar"))</f>
        <v/>
      </c>
    </row>
    <row r="235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9" t="n"/>
      <c r="L235" s="19" t="n"/>
      <c r="M235" s="18" t="n"/>
      <c r="N235" s="18" t="n"/>
      <c r="O235" s="19" t="n"/>
      <c r="P235" s="18">
        <f>IF(L235="","",TODAY()-L235)</f>
        <v/>
      </c>
      <c r="Q235" s="18" t="n"/>
      <c r="R235" s="18" t="n"/>
      <c r="S235" s="18" t="n"/>
      <c r="T235" s="18" t="n"/>
      <c r="U235" s="18" t="n"/>
      <c r="V235" s="20">
        <f>IF(A235="","",HYPERLINK("https://calendar.google.com/calendar/render?action=TEMPLATE&amp;text="&amp;"Racksa%3A%20"&amp;SUBSTITUTE(SUBSTITUTE(SUBSTITUTE(LEFT(B235,45),"&amp;","y")," ","%20"),"#","")&amp;"%20-%20seguimiento"&amp;"&amp;dates="&amp;YEAR(IF(O235="",TODAY()+3,O235))&amp;RIGHT("0"&amp;MONTH(IF(O235="",TODAY()+3,O235)),2)&amp;RIGHT("0"&amp;DAY(IF(O235="",TODAY()+3,O235)),2)&amp;"/"&amp;YEAR(IF(O235="",TODAY()+4,O235+1))&amp;RIGHT("0"&amp;MONTH(IF(O235="",TODAY()+4,O235+1)),2)&amp;RIGHT("0"&amp;DAY(IF(O235="",TODAY()+4,O235+1)),2),"📅 Agendar"))</f>
        <v/>
      </c>
    </row>
    <row r="236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9" t="n"/>
      <c r="L236" s="19" t="n"/>
      <c r="M236" s="18" t="n"/>
      <c r="N236" s="18" t="n"/>
      <c r="O236" s="19" t="n"/>
      <c r="P236" s="18">
        <f>IF(L236="","",TODAY()-L236)</f>
        <v/>
      </c>
      <c r="Q236" s="18" t="n"/>
      <c r="R236" s="18" t="n"/>
      <c r="S236" s="18" t="n"/>
      <c r="T236" s="18" t="n"/>
      <c r="U236" s="18" t="n"/>
      <c r="V236" s="20">
        <f>IF(A236="","",HYPERLINK("https://calendar.google.com/calendar/render?action=TEMPLATE&amp;text="&amp;"Racksa%3A%20"&amp;SUBSTITUTE(SUBSTITUTE(SUBSTITUTE(LEFT(B236,45),"&amp;","y")," ","%20"),"#","")&amp;"%20-%20seguimiento"&amp;"&amp;dates="&amp;YEAR(IF(O236="",TODAY()+3,O236))&amp;RIGHT("0"&amp;MONTH(IF(O236="",TODAY()+3,O236)),2)&amp;RIGHT("0"&amp;DAY(IF(O236="",TODAY()+3,O236)),2)&amp;"/"&amp;YEAR(IF(O236="",TODAY()+4,O236+1))&amp;RIGHT("0"&amp;MONTH(IF(O236="",TODAY()+4,O236+1)),2)&amp;RIGHT("0"&amp;DAY(IF(O236="",TODAY()+4,O236+1)),2),"📅 Agendar"))</f>
        <v/>
      </c>
    </row>
    <row r="237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9" t="n"/>
      <c r="L237" s="19" t="n"/>
      <c r="M237" s="18" t="n"/>
      <c r="N237" s="18" t="n"/>
      <c r="O237" s="19" t="n"/>
      <c r="P237" s="18">
        <f>IF(L237="","",TODAY()-L237)</f>
        <v/>
      </c>
      <c r="Q237" s="18" t="n"/>
      <c r="R237" s="18" t="n"/>
      <c r="S237" s="18" t="n"/>
      <c r="T237" s="18" t="n"/>
      <c r="U237" s="18" t="n"/>
      <c r="V237" s="20">
        <f>IF(A237="","",HYPERLINK("https://calendar.google.com/calendar/render?action=TEMPLATE&amp;text="&amp;"Racksa%3A%20"&amp;SUBSTITUTE(SUBSTITUTE(SUBSTITUTE(LEFT(B237,45),"&amp;","y")," ","%20"),"#","")&amp;"%20-%20seguimiento"&amp;"&amp;dates="&amp;YEAR(IF(O237="",TODAY()+3,O237))&amp;RIGHT("0"&amp;MONTH(IF(O237="",TODAY()+3,O237)),2)&amp;RIGHT("0"&amp;DAY(IF(O237="",TODAY()+3,O237)),2)&amp;"/"&amp;YEAR(IF(O237="",TODAY()+4,O237+1))&amp;RIGHT("0"&amp;MONTH(IF(O237="",TODAY()+4,O237+1)),2)&amp;RIGHT("0"&amp;DAY(IF(O237="",TODAY()+4,O237+1)),2),"📅 Agendar"))</f>
        <v/>
      </c>
    </row>
    <row r="238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9" t="n"/>
      <c r="L238" s="19" t="n"/>
      <c r="M238" s="18" t="n"/>
      <c r="N238" s="18" t="n"/>
      <c r="O238" s="19" t="n"/>
      <c r="P238" s="18">
        <f>IF(L238="","",TODAY()-L238)</f>
        <v/>
      </c>
      <c r="Q238" s="18" t="n"/>
      <c r="R238" s="18" t="n"/>
      <c r="S238" s="18" t="n"/>
      <c r="T238" s="18" t="n"/>
      <c r="U238" s="18" t="n"/>
      <c r="V238" s="20">
        <f>IF(A238="","",HYPERLINK("https://calendar.google.com/calendar/render?action=TEMPLATE&amp;text="&amp;"Racksa%3A%20"&amp;SUBSTITUTE(SUBSTITUTE(SUBSTITUTE(LEFT(B238,45),"&amp;","y")," ","%20"),"#","")&amp;"%20-%20seguimiento"&amp;"&amp;dates="&amp;YEAR(IF(O238="",TODAY()+3,O238))&amp;RIGHT("0"&amp;MONTH(IF(O238="",TODAY()+3,O238)),2)&amp;RIGHT("0"&amp;DAY(IF(O238="",TODAY()+3,O238)),2)&amp;"/"&amp;YEAR(IF(O238="",TODAY()+4,O238+1))&amp;RIGHT("0"&amp;MONTH(IF(O238="",TODAY()+4,O238+1)),2)&amp;RIGHT("0"&amp;DAY(IF(O238="",TODAY()+4,O238+1)),2),"📅 Agendar"))</f>
        <v/>
      </c>
    </row>
    <row r="239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9" t="n"/>
      <c r="L239" s="19" t="n"/>
      <c r="M239" s="18" t="n"/>
      <c r="N239" s="18" t="n"/>
      <c r="O239" s="19" t="n"/>
      <c r="P239" s="18">
        <f>IF(L239="","",TODAY()-L239)</f>
        <v/>
      </c>
      <c r="Q239" s="18" t="n"/>
      <c r="R239" s="18" t="n"/>
      <c r="S239" s="18" t="n"/>
      <c r="T239" s="18" t="n"/>
      <c r="U239" s="18" t="n"/>
      <c r="V239" s="20">
        <f>IF(A239="","",HYPERLINK("https://calendar.google.com/calendar/render?action=TEMPLATE&amp;text="&amp;"Racksa%3A%20"&amp;SUBSTITUTE(SUBSTITUTE(SUBSTITUTE(LEFT(B239,45),"&amp;","y")," ","%20"),"#","")&amp;"%20-%20seguimiento"&amp;"&amp;dates="&amp;YEAR(IF(O239="",TODAY()+3,O239))&amp;RIGHT("0"&amp;MONTH(IF(O239="",TODAY()+3,O239)),2)&amp;RIGHT("0"&amp;DAY(IF(O239="",TODAY()+3,O239)),2)&amp;"/"&amp;YEAR(IF(O239="",TODAY()+4,O239+1))&amp;RIGHT("0"&amp;MONTH(IF(O239="",TODAY()+4,O239+1)),2)&amp;RIGHT("0"&amp;DAY(IF(O239="",TODAY()+4,O239+1)),2),"📅 Agendar"))</f>
        <v/>
      </c>
    </row>
    <row r="240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9" t="n"/>
      <c r="L240" s="19" t="n"/>
      <c r="M240" s="18" t="n"/>
      <c r="N240" s="18" t="n"/>
      <c r="O240" s="19" t="n"/>
      <c r="P240" s="18">
        <f>IF(L240="","",TODAY()-L240)</f>
        <v/>
      </c>
      <c r="Q240" s="18" t="n"/>
      <c r="R240" s="18" t="n"/>
      <c r="S240" s="18" t="n"/>
      <c r="T240" s="18" t="n"/>
      <c r="U240" s="18" t="n"/>
      <c r="V240" s="20">
        <f>IF(A240="","",HYPERLINK("https://calendar.google.com/calendar/render?action=TEMPLATE&amp;text="&amp;"Racksa%3A%20"&amp;SUBSTITUTE(SUBSTITUTE(SUBSTITUTE(LEFT(B240,45),"&amp;","y")," ","%20"),"#","")&amp;"%20-%20seguimiento"&amp;"&amp;dates="&amp;YEAR(IF(O240="",TODAY()+3,O240))&amp;RIGHT("0"&amp;MONTH(IF(O240="",TODAY()+3,O240)),2)&amp;RIGHT("0"&amp;DAY(IF(O240="",TODAY()+3,O240)),2)&amp;"/"&amp;YEAR(IF(O240="",TODAY()+4,O240+1))&amp;RIGHT("0"&amp;MONTH(IF(O240="",TODAY()+4,O240+1)),2)&amp;RIGHT("0"&amp;DAY(IF(O240="",TODAY()+4,O240+1)),2),"📅 Agendar"))</f>
        <v/>
      </c>
    </row>
    <row r="241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9" t="n"/>
      <c r="L241" s="19" t="n"/>
      <c r="M241" s="18" t="n"/>
      <c r="N241" s="18" t="n"/>
      <c r="O241" s="19" t="n"/>
      <c r="P241" s="18">
        <f>IF(L241="","",TODAY()-L241)</f>
        <v/>
      </c>
      <c r="Q241" s="18" t="n"/>
      <c r="R241" s="18" t="n"/>
      <c r="S241" s="18" t="n"/>
      <c r="T241" s="18" t="n"/>
      <c r="U241" s="18" t="n"/>
      <c r="V241" s="20">
        <f>IF(A241="","",HYPERLINK("https://calendar.google.com/calendar/render?action=TEMPLATE&amp;text="&amp;"Racksa%3A%20"&amp;SUBSTITUTE(SUBSTITUTE(SUBSTITUTE(LEFT(B241,45),"&amp;","y")," ","%20"),"#","")&amp;"%20-%20seguimiento"&amp;"&amp;dates="&amp;YEAR(IF(O241="",TODAY()+3,O241))&amp;RIGHT("0"&amp;MONTH(IF(O241="",TODAY()+3,O241)),2)&amp;RIGHT("0"&amp;DAY(IF(O241="",TODAY()+3,O241)),2)&amp;"/"&amp;YEAR(IF(O241="",TODAY()+4,O241+1))&amp;RIGHT("0"&amp;MONTH(IF(O241="",TODAY()+4,O241+1)),2)&amp;RIGHT("0"&amp;DAY(IF(O241="",TODAY()+4,O241+1)),2),"📅 Agendar"))</f>
        <v/>
      </c>
    </row>
    <row r="242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9" t="n"/>
      <c r="L242" s="19" t="n"/>
      <c r="M242" s="18" t="n"/>
      <c r="N242" s="18" t="n"/>
      <c r="O242" s="19" t="n"/>
      <c r="P242" s="18">
        <f>IF(L242="","",TODAY()-L242)</f>
        <v/>
      </c>
      <c r="Q242" s="18" t="n"/>
      <c r="R242" s="18" t="n"/>
      <c r="S242" s="18" t="n"/>
      <c r="T242" s="18" t="n"/>
      <c r="U242" s="18" t="n"/>
      <c r="V242" s="20">
        <f>IF(A242="","",HYPERLINK("https://calendar.google.com/calendar/render?action=TEMPLATE&amp;text="&amp;"Racksa%3A%20"&amp;SUBSTITUTE(SUBSTITUTE(SUBSTITUTE(LEFT(B242,45),"&amp;","y")," ","%20"),"#","")&amp;"%20-%20seguimiento"&amp;"&amp;dates="&amp;YEAR(IF(O242="",TODAY()+3,O242))&amp;RIGHT("0"&amp;MONTH(IF(O242="",TODAY()+3,O242)),2)&amp;RIGHT("0"&amp;DAY(IF(O242="",TODAY()+3,O242)),2)&amp;"/"&amp;YEAR(IF(O242="",TODAY()+4,O242+1))&amp;RIGHT("0"&amp;MONTH(IF(O242="",TODAY()+4,O242+1)),2)&amp;RIGHT("0"&amp;DAY(IF(O242="",TODAY()+4,O242+1)),2),"📅 Agendar"))</f>
        <v/>
      </c>
    </row>
    <row r="243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9" t="n"/>
      <c r="L243" s="19" t="n"/>
      <c r="M243" s="18" t="n"/>
      <c r="N243" s="18" t="n"/>
      <c r="O243" s="19" t="n"/>
      <c r="P243" s="18">
        <f>IF(L243="","",TODAY()-L243)</f>
        <v/>
      </c>
      <c r="Q243" s="18" t="n"/>
      <c r="R243" s="18" t="n"/>
      <c r="S243" s="18" t="n"/>
      <c r="T243" s="18" t="n"/>
      <c r="U243" s="18" t="n"/>
      <c r="V243" s="20">
        <f>IF(A243="","",HYPERLINK("https://calendar.google.com/calendar/render?action=TEMPLATE&amp;text="&amp;"Racksa%3A%20"&amp;SUBSTITUTE(SUBSTITUTE(SUBSTITUTE(LEFT(B243,45),"&amp;","y")," ","%20"),"#","")&amp;"%20-%20seguimiento"&amp;"&amp;dates="&amp;YEAR(IF(O243="",TODAY()+3,O243))&amp;RIGHT("0"&amp;MONTH(IF(O243="",TODAY()+3,O243)),2)&amp;RIGHT("0"&amp;DAY(IF(O243="",TODAY()+3,O243)),2)&amp;"/"&amp;YEAR(IF(O243="",TODAY()+4,O243+1))&amp;RIGHT("0"&amp;MONTH(IF(O243="",TODAY()+4,O243+1)),2)&amp;RIGHT("0"&amp;DAY(IF(O243="",TODAY()+4,O243+1)),2),"📅 Agendar"))</f>
        <v/>
      </c>
    </row>
    <row r="244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9" t="n"/>
      <c r="L244" s="19" t="n"/>
      <c r="M244" s="18" t="n"/>
      <c r="N244" s="18" t="n"/>
      <c r="O244" s="19" t="n"/>
      <c r="P244" s="18">
        <f>IF(L244="","",TODAY()-L244)</f>
        <v/>
      </c>
      <c r="Q244" s="18" t="n"/>
      <c r="R244" s="18" t="n"/>
      <c r="S244" s="18" t="n"/>
      <c r="T244" s="18" t="n"/>
      <c r="U244" s="18" t="n"/>
      <c r="V244" s="20">
        <f>IF(A244="","",HYPERLINK("https://calendar.google.com/calendar/render?action=TEMPLATE&amp;text="&amp;"Racksa%3A%20"&amp;SUBSTITUTE(SUBSTITUTE(SUBSTITUTE(LEFT(B244,45),"&amp;","y")," ","%20"),"#","")&amp;"%20-%20seguimiento"&amp;"&amp;dates="&amp;YEAR(IF(O244="",TODAY()+3,O244))&amp;RIGHT("0"&amp;MONTH(IF(O244="",TODAY()+3,O244)),2)&amp;RIGHT("0"&amp;DAY(IF(O244="",TODAY()+3,O244)),2)&amp;"/"&amp;YEAR(IF(O244="",TODAY()+4,O244+1))&amp;RIGHT("0"&amp;MONTH(IF(O244="",TODAY()+4,O244+1)),2)&amp;RIGHT("0"&amp;DAY(IF(O244="",TODAY()+4,O244+1)),2),"📅 Agendar"))</f>
        <v/>
      </c>
    </row>
    <row r="245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9" t="n"/>
      <c r="L245" s="19" t="n"/>
      <c r="M245" s="18" t="n"/>
      <c r="N245" s="18" t="n"/>
      <c r="O245" s="19" t="n"/>
      <c r="P245" s="18">
        <f>IF(L245="","",TODAY()-L245)</f>
        <v/>
      </c>
      <c r="Q245" s="18" t="n"/>
      <c r="R245" s="18" t="n"/>
      <c r="S245" s="18" t="n"/>
      <c r="T245" s="18" t="n"/>
      <c r="U245" s="18" t="n"/>
      <c r="V245" s="20">
        <f>IF(A245="","",HYPERLINK("https://calendar.google.com/calendar/render?action=TEMPLATE&amp;text="&amp;"Racksa%3A%20"&amp;SUBSTITUTE(SUBSTITUTE(SUBSTITUTE(LEFT(B245,45),"&amp;","y")," ","%20"),"#","")&amp;"%20-%20seguimiento"&amp;"&amp;dates="&amp;YEAR(IF(O245="",TODAY()+3,O245))&amp;RIGHT("0"&amp;MONTH(IF(O245="",TODAY()+3,O245)),2)&amp;RIGHT("0"&amp;DAY(IF(O245="",TODAY()+3,O245)),2)&amp;"/"&amp;YEAR(IF(O245="",TODAY()+4,O245+1))&amp;RIGHT("0"&amp;MONTH(IF(O245="",TODAY()+4,O245+1)),2)&amp;RIGHT("0"&amp;DAY(IF(O245="",TODAY()+4,O245+1)),2),"📅 Agendar"))</f>
        <v/>
      </c>
    </row>
    <row r="246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9" t="n"/>
      <c r="L246" s="19" t="n"/>
      <c r="M246" s="18" t="n"/>
      <c r="N246" s="18" t="n"/>
      <c r="O246" s="19" t="n"/>
      <c r="P246" s="18">
        <f>IF(L246="","",TODAY()-L246)</f>
        <v/>
      </c>
      <c r="Q246" s="18" t="n"/>
      <c r="R246" s="18" t="n"/>
      <c r="S246" s="18" t="n"/>
      <c r="T246" s="18" t="n"/>
      <c r="U246" s="18" t="n"/>
      <c r="V246" s="20">
        <f>IF(A246="","",HYPERLINK("https://calendar.google.com/calendar/render?action=TEMPLATE&amp;text="&amp;"Racksa%3A%20"&amp;SUBSTITUTE(SUBSTITUTE(SUBSTITUTE(LEFT(B246,45),"&amp;","y")," ","%20"),"#","")&amp;"%20-%20seguimiento"&amp;"&amp;dates="&amp;YEAR(IF(O246="",TODAY()+3,O246))&amp;RIGHT("0"&amp;MONTH(IF(O246="",TODAY()+3,O246)),2)&amp;RIGHT("0"&amp;DAY(IF(O246="",TODAY()+3,O246)),2)&amp;"/"&amp;YEAR(IF(O246="",TODAY()+4,O246+1))&amp;RIGHT("0"&amp;MONTH(IF(O246="",TODAY()+4,O246+1)),2)&amp;RIGHT("0"&amp;DAY(IF(O246="",TODAY()+4,O246+1)),2),"📅 Agendar"))</f>
        <v/>
      </c>
    </row>
    <row r="247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9" t="n"/>
      <c r="L247" s="19" t="n"/>
      <c r="M247" s="18" t="n"/>
      <c r="N247" s="18" t="n"/>
      <c r="O247" s="19" t="n"/>
      <c r="P247" s="18">
        <f>IF(L247="","",TODAY()-L247)</f>
        <v/>
      </c>
      <c r="Q247" s="18" t="n"/>
      <c r="R247" s="18" t="n"/>
      <c r="S247" s="18" t="n"/>
      <c r="T247" s="18" t="n"/>
      <c r="U247" s="18" t="n"/>
      <c r="V247" s="20">
        <f>IF(A247="","",HYPERLINK("https://calendar.google.com/calendar/render?action=TEMPLATE&amp;text="&amp;"Racksa%3A%20"&amp;SUBSTITUTE(SUBSTITUTE(SUBSTITUTE(LEFT(B247,45),"&amp;","y")," ","%20"),"#","")&amp;"%20-%20seguimiento"&amp;"&amp;dates="&amp;YEAR(IF(O247="",TODAY()+3,O247))&amp;RIGHT("0"&amp;MONTH(IF(O247="",TODAY()+3,O247)),2)&amp;RIGHT("0"&amp;DAY(IF(O247="",TODAY()+3,O247)),2)&amp;"/"&amp;YEAR(IF(O247="",TODAY()+4,O247+1))&amp;RIGHT("0"&amp;MONTH(IF(O247="",TODAY()+4,O247+1)),2)&amp;RIGHT("0"&amp;DAY(IF(O247="",TODAY()+4,O247+1)),2),"📅 Agendar"))</f>
        <v/>
      </c>
    </row>
    <row r="248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9" t="n"/>
      <c r="L248" s="19" t="n"/>
      <c r="M248" s="18" t="n"/>
      <c r="N248" s="18" t="n"/>
      <c r="O248" s="19" t="n"/>
      <c r="P248" s="18">
        <f>IF(L248="","",TODAY()-L248)</f>
        <v/>
      </c>
      <c r="Q248" s="18" t="n"/>
      <c r="R248" s="18" t="n"/>
      <c r="S248" s="18" t="n"/>
      <c r="T248" s="18" t="n"/>
      <c r="U248" s="18" t="n"/>
      <c r="V248" s="20">
        <f>IF(A248="","",HYPERLINK("https://calendar.google.com/calendar/render?action=TEMPLATE&amp;text="&amp;"Racksa%3A%20"&amp;SUBSTITUTE(SUBSTITUTE(SUBSTITUTE(LEFT(B248,45),"&amp;","y")," ","%20"),"#","")&amp;"%20-%20seguimiento"&amp;"&amp;dates="&amp;YEAR(IF(O248="",TODAY()+3,O248))&amp;RIGHT("0"&amp;MONTH(IF(O248="",TODAY()+3,O248)),2)&amp;RIGHT("0"&amp;DAY(IF(O248="",TODAY()+3,O248)),2)&amp;"/"&amp;YEAR(IF(O248="",TODAY()+4,O248+1))&amp;RIGHT("0"&amp;MONTH(IF(O248="",TODAY()+4,O248+1)),2)&amp;RIGHT("0"&amp;DAY(IF(O248="",TODAY()+4,O248+1)),2),"📅 Agendar"))</f>
        <v/>
      </c>
    </row>
    <row r="249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9" t="n"/>
      <c r="L249" s="19" t="n"/>
      <c r="M249" s="18" t="n"/>
      <c r="N249" s="18" t="n"/>
      <c r="O249" s="19" t="n"/>
      <c r="P249" s="18">
        <f>IF(L249="","",TODAY()-L249)</f>
        <v/>
      </c>
      <c r="Q249" s="18" t="n"/>
      <c r="R249" s="18" t="n"/>
      <c r="S249" s="18" t="n"/>
      <c r="T249" s="18" t="n"/>
      <c r="U249" s="18" t="n"/>
      <c r="V249" s="20">
        <f>IF(A249="","",HYPERLINK("https://calendar.google.com/calendar/render?action=TEMPLATE&amp;text="&amp;"Racksa%3A%20"&amp;SUBSTITUTE(SUBSTITUTE(SUBSTITUTE(LEFT(B249,45),"&amp;","y")," ","%20"),"#","")&amp;"%20-%20seguimiento"&amp;"&amp;dates="&amp;YEAR(IF(O249="",TODAY()+3,O249))&amp;RIGHT("0"&amp;MONTH(IF(O249="",TODAY()+3,O249)),2)&amp;RIGHT("0"&amp;DAY(IF(O249="",TODAY()+3,O249)),2)&amp;"/"&amp;YEAR(IF(O249="",TODAY()+4,O249+1))&amp;RIGHT("0"&amp;MONTH(IF(O249="",TODAY()+4,O249+1)),2)&amp;RIGHT("0"&amp;DAY(IF(O249="",TODAY()+4,O249+1)),2),"📅 Agendar"))</f>
        <v/>
      </c>
    </row>
    <row r="250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9" t="n"/>
      <c r="L250" s="19" t="n"/>
      <c r="M250" s="18" t="n"/>
      <c r="N250" s="18" t="n"/>
      <c r="O250" s="19" t="n"/>
      <c r="P250" s="18">
        <f>IF(L250="","",TODAY()-L250)</f>
        <v/>
      </c>
      <c r="Q250" s="18" t="n"/>
      <c r="R250" s="18" t="n"/>
      <c r="S250" s="18" t="n"/>
      <c r="T250" s="18" t="n"/>
      <c r="U250" s="18" t="n"/>
      <c r="V250" s="20">
        <f>IF(A250="","",HYPERLINK("https://calendar.google.com/calendar/render?action=TEMPLATE&amp;text="&amp;"Racksa%3A%20"&amp;SUBSTITUTE(SUBSTITUTE(SUBSTITUTE(LEFT(B250,45),"&amp;","y")," ","%20"),"#","")&amp;"%20-%20seguimiento"&amp;"&amp;dates="&amp;YEAR(IF(O250="",TODAY()+3,O250))&amp;RIGHT("0"&amp;MONTH(IF(O250="",TODAY()+3,O250)),2)&amp;RIGHT("0"&amp;DAY(IF(O250="",TODAY()+3,O250)),2)&amp;"/"&amp;YEAR(IF(O250="",TODAY()+4,O250+1))&amp;RIGHT("0"&amp;MONTH(IF(O250="",TODAY()+4,O250+1)),2)&amp;RIGHT("0"&amp;DAY(IF(O250="",TODAY()+4,O250+1)),2),"📅 Agendar"))</f>
        <v/>
      </c>
    </row>
    <row r="251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9" t="n"/>
      <c r="L251" s="19" t="n"/>
      <c r="M251" s="18" t="n"/>
      <c r="N251" s="18" t="n"/>
      <c r="O251" s="19" t="n"/>
      <c r="P251" s="18">
        <f>IF(L251="","",TODAY()-L251)</f>
        <v/>
      </c>
      <c r="Q251" s="18" t="n"/>
      <c r="R251" s="18" t="n"/>
      <c r="S251" s="18" t="n"/>
      <c r="T251" s="18" t="n"/>
      <c r="U251" s="18" t="n"/>
      <c r="V251" s="20">
        <f>IF(A251="","",HYPERLINK("https://calendar.google.com/calendar/render?action=TEMPLATE&amp;text="&amp;"Racksa%3A%20"&amp;SUBSTITUTE(SUBSTITUTE(SUBSTITUTE(LEFT(B251,45),"&amp;","y")," ","%20"),"#","")&amp;"%20-%20seguimiento"&amp;"&amp;dates="&amp;YEAR(IF(O251="",TODAY()+3,O251))&amp;RIGHT("0"&amp;MONTH(IF(O251="",TODAY()+3,O251)),2)&amp;RIGHT("0"&amp;DAY(IF(O251="",TODAY()+3,O251)),2)&amp;"/"&amp;YEAR(IF(O251="",TODAY()+4,O251+1))&amp;RIGHT("0"&amp;MONTH(IF(O251="",TODAY()+4,O251+1)),2)&amp;RIGHT("0"&amp;DAY(IF(O251="",TODAY()+4,O251+1)),2),"📅 Agendar"))</f>
        <v/>
      </c>
    </row>
    <row r="252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9" t="n"/>
      <c r="L252" s="19" t="n"/>
      <c r="M252" s="18" t="n"/>
      <c r="N252" s="18" t="n"/>
      <c r="O252" s="19" t="n"/>
      <c r="P252" s="18">
        <f>IF(L252="","",TODAY()-L252)</f>
        <v/>
      </c>
      <c r="Q252" s="18" t="n"/>
      <c r="R252" s="18" t="n"/>
      <c r="S252" s="18" t="n"/>
      <c r="T252" s="18" t="n"/>
      <c r="U252" s="18" t="n"/>
      <c r="V252" s="20">
        <f>IF(A252="","",HYPERLINK("https://calendar.google.com/calendar/render?action=TEMPLATE&amp;text="&amp;"Racksa%3A%20"&amp;SUBSTITUTE(SUBSTITUTE(SUBSTITUTE(LEFT(B252,45),"&amp;","y")," ","%20"),"#","")&amp;"%20-%20seguimiento"&amp;"&amp;dates="&amp;YEAR(IF(O252="",TODAY()+3,O252))&amp;RIGHT("0"&amp;MONTH(IF(O252="",TODAY()+3,O252)),2)&amp;RIGHT("0"&amp;DAY(IF(O252="",TODAY()+3,O252)),2)&amp;"/"&amp;YEAR(IF(O252="",TODAY()+4,O252+1))&amp;RIGHT("0"&amp;MONTH(IF(O252="",TODAY()+4,O252+1)),2)&amp;RIGHT("0"&amp;DAY(IF(O252="",TODAY()+4,O252+1)),2),"📅 Agendar"))</f>
        <v/>
      </c>
    </row>
    <row r="253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9" t="n"/>
      <c r="L253" s="19" t="n"/>
      <c r="M253" s="18" t="n"/>
      <c r="N253" s="18" t="n"/>
      <c r="O253" s="19" t="n"/>
      <c r="P253" s="18">
        <f>IF(L253="","",TODAY()-L253)</f>
        <v/>
      </c>
      <c r="Q253" s="18" t="n"/>
      <c r="R253" s="18" t="n"/>
      <c r="S253" s="18" t="n"/>
      <c r="T253" s="18" t="n"/>
      <c r="U253" s="18" t="n"/>
      <c r="V253" s="20">
        <f>IF(A253="","",HYPERLINK("https://calendar.google.com/calendar/render?action=TEMPLATE&amp;text="&amp;"Racksa%3A%20"&amp;SUBSTITUTE(SUBSTITUTE(SUBSTITUTE(LEFT(B253,45),"&amp;","y")," ","%20"),"#","")&amp;"%20-%20seguimiento"&amp;"&amp;dates="&amp;YEAR(IF(O253="",TODAY()+3,O253))&amp;RIGHT("0"&amp;MONTH(IF(O253="",TODAY()+3,O253)),2)&amp;RIGHT("0"&amp;DAY(IF(O253="",TODAY()+3,O253)),2)&amp;"/"&amp;YEAR(IF(O253="",TODAY()+4,O253+1))&amp;RIGHT("0"&amp;MONTH(IF(O253="",TODAY()+4,O253+1)),2)&amp;RIGHT("0"&amp;DAY(IF(O253="",TODAY()+4,O253+1)),2),"📅 Agendar"))</f>
        <v/>
      </c>
    </row>
    <row r="254">
      <c r="A254" s="18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9" t="n"/>
      <c r="L254" s="19" t="n"/>
      <c r="M254" s="18" t="n"/>
      <c r="N254" s="18" t="n"/>
      <c r="O254" s="19" t="n"/>
      <c r="P254" s="18">
        <f>IF(L254="","",TODAY()-L254)</f>
        <v/>
      </c>
      <c r="Q254" s="18" t="n"/>
      <c r="R254" s="18" t="n"/>
      <c r="S254" s="18" t="n"/>
      <c r="T254" s="18" t="n"/>
      <c r="U254" s="18" t="n"/>
      <c r="V254" s="20">
        <f>IF(A254="","",HYPERLINK("https://calendar.google.com/calendar/render?action=TEMPLATE&amp;text="&amp;"Racksa%3A%20"&amp;SUBSTITUTE(SUBSTITUTE(SUBSTITUTE(LEFT(B254,45),"&amp;","y")," ","%20"),"#","")&amp;"%20-%20seguimiento"&amp;"&amp;dates="&amp;YEAR(IF(O254="",TODAY()+3,O254))&amp;RIGHT("0"&amp;MONTH(IF(O254="",TODAY()+3,O254)),2)&amp;RIGHT("0"&amp;DAY(IF(O254="",TODAY()+3,O254)),2)&amp;"/"&amp;YEAR(IF(O254="",TODAY()+4,O254+1))&amp;RIGHT("0"&amp;MONTH(IF(O254="",TODAY()+4,O254+1)),2)&amp;RIGHT("0"&amp;DAY(IF(O254="",TODAY()+4,O254+1)),2),"📅 Agendar"))</f>
        <v/>
      </c>
    </row>
    <row r="255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9" t="n"/>
      <c r="L255" s="19" t="n"/>
      <c r="M255" s="18" t="n"/>
      <c r="N255" s="18" t="n"/>
      <c r="O255" s="19" t="n"/>
      <c r="P255" s="18">
        <f>IF(L255="","",TODAY()-L255)</f>
        <v/>
      </c>
      <c r="Q255" s="18" t="n"/>
      <c r="R255" s="18" t="n"/>
      <c r="S255" s="18" t="n"/>
      <c r="T255" s="18" t="n"/>
      <c r="U255" s="18" t="n"/>
      <c r="V255" s="20">
        <f>IF(A255="","",HYPERLINK("https://calendar.google.com/calendar/render?action=TEMPLATE&amp;text="&amp;"Racksa%3A%20"&amp;SUBSTITUTE(SUBSTITUTE(SUBSTITUTE(LEFT(B255,45),"&amp;","y")," ","%20"),"#","")&amp;"%20-%20seguimiento"&amp;"&amp;dates="&amp;YEAR(IF(O255="",TODAY()+3,O255))&amp;RIGHT("0"&amp;MONTH(IF(O255="",TODAY()+3,O255)),2)&amp;RIGHT("0"&amp;DAY(IF(O255="",TODAY()+3,O255)),2)&amp;"/"&amp;YEAR(IF(O255="",TODAY()+4,O255+1))&amp;RIGHT("0"&amp;MONTH(IF(O255="",TODAY()+4,O255+1)),2)&amp;RIGHT("0"&amp;DAY(IF(O255="",TODAY()+4,O255+1)),2),"📅 Agendar"))</f>
        <v/>
      </c>
    </row>
    <row r="256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9" t="n"/>
      <c r="L256" s="19" t="n"/>
      <c r="M256" s="18" t="n"/>
      <c r="N256" s="18" t="n"/>
      <c r="O256" s="19" t="n"/>
      <c r="P256" s="18">
        <f>IF(L256="","",TODAY()-L256)</f>
        <v/>
      </c>
      <c r="Q256" s="18" t="n"/>
      <c r="R256" s="18" t="n"/>
      <c r="S256" s="18" t="n"/>
      <c r="T256" s="18" t="n"/>
      <c r="U256" s="18" t="n"/>
      <c r="V256" s="20">
        <f>IF(A256="","",HYPERLINK("https://calendar.google.com/calendar/render?action=TEMPLATE&amp;text="&amp;"Racksa%3A%20"&amp;SUBSTITUTE(SUBSTITUTE(SUBSTITUTE(LEFT(B256,45),"&amp;","y")," ","%20"),"#","")&amp;"%20-%20seguimiento"&amp;"&amp;dates="&amp;YEAR(IF(O256="",TODAY()+3,O256))&amp;RIGHT("0"&amp;MONTH(IF(O256="",TODAY()+3,O256)),2)&amp;RIGHT("0"&amp;DAY(IF(O256="",TODAY()+3,O256)),2)&amp;"/"&amp;YEAR(IF(O256="",TODAY()+4,O256+1))&amp;RIGHT("0"&amp;MONTH(IF(O256="",TODAY()+4,O256+1)),2)&amp;RIGHT("0"&amp;DAY(IF(O256="",TODAY()+4,O256+1)),2),"📅 Agendar"))</f>
        <v/>
      </c>
    </row>
    <row r="257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9" t="n"/>
      <c r="L257" s="19" t="n"/>
      <c r="M257" s="18" t="n"/>
      <c r="N257" s="18" t="n"/>
      <c r="O257" s="19" t="n"/>
      <c r="P257" s="18">
        <f>IF(L257="","",TODAY()-L257)</f>
        <v/>
      </c>
      <c r="Q257" s="18" t="n"/>
      <c r="R257" s="18" t="n"/>
      <c r="S257" s="18" t="n"/>
      <c r="T257" s="18" t="n"/>
      <c r="U257" s="18" t="n"/>
      <c r="V257" s="20">
        <f>IF(A257="","",HYPERLINK("https://calendar.google.com/calendar/render?action=TEMPLATE&amp;text="&amp;"Racksa%3A%20"&amp;SUBSTITUTE(SUBSTITUTE(SUBSTITUTE(LEFT(B257,45),"&amp;","y")," ","%20"),"#","")&amp;"%20-%20seguimiento"&amp;"&amp;dates="&amp;YEAR(IF(O257="",TODAY()+3,O257))&amp;RIGHT("0"&amp;MONTH(IF(O257="",TODAY()+3,O257)),2)&amp;RIGHT("0"&amp;DAY(IF(O257="",TODAY()+3,O257)),2)&amp;"/"&amp;YEAR(IF(O257="",TODAY()+4,O257+1))&amp;RIGHT("0"&amp;MONTH(IF(O257="",TODAY()+4,O257+1)),2)&amp;RIGHT("0"&amp;DAY(IF(O257="",TODAY()+4,O257+1)),2),"📅 Agendar"))</f>
        <v/>
      </c>
    </row>
    <row r="258">
      <c r="A258" s="18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9" t="n"/>
      <c r="L258" s="19" t="n"/>
      <c r="M258" s="18" t="n"/>
      <c r="N258" s="18" t="n"/>
      <c r="O258" s="19" t="n"/>
      <c r="P258" s="18">
        <f>IF(L258="","",TODAY()-L258)</f>
        <v/>
      </c>
      <c r="Q258" s="18" t="n"/>
      <c r="R258" s="18" t="n"/>
      <c r="S258" s="18" t="n"/>
      <c r="T258" s="18" t="n"/>
      <c r="U258" s="18" t="n"/>
      <c r="V258" s="20">
        <f>IF(A258="","",HYPERLINK("https://calendar.google.com/calendar/render?action=TEMPLATE&amp;text="&amp;"Racksa%3A%20"&amp;SUBSTITUTE(SUBSTITUTE(SUBSTITUTE(LEFT(B258,45),"&amp;","y")," ","%20"),"#","")&amp;"%20-%20seguimiento"&amp;"&amp;dates="&amp;YEAR(IF(O258="",TODAY()+3,O258))&amp;RIGHT("0"&amp;MONTH(IF(O258="",TODAY()+3,O258)),2)&amp;RIGHT("0"&amp;DAY(IF(O258="",TODAY()+3,O258)),2)&amp;"/"&amp;YEAR(IF(O258="",TODAY()+4,O258+1))&amp;RIGHT("0"&amp;MONTH(IF(O258="",TODAY()+4,O258+1)),2)&amp;RIGHT("0"&amp;DAY(IF(O258="",TODAY()+4,O258+1)),2),"📅 Agendar"))</f>
        <v/>
      </c>
    </row>
    <row r="259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9" t="n"/>
      <c r="L259" s="19" t="n"/>
      <c r="M259" s="18" t="n"/>
      <c r="N259" s="18" t="n"/>
      <c r="O259" s="19" t="n"/>
      <c r="P259" s="18">
        <f>IF(L259="","",TODAY()-L259)</f>
        <v/>
      </c>
      <c r="Q259" s="18" t="n"/>
      <c r="R259" s="18" t="n"/>
      <c r="S259" s="18" t="n"/>
      <c r="T259" s="18" t="n"/>
      <c r="U259" s="18" t="n"/>
      <c r="V259" s="20">
        <f>IF(A259="","",HYPERLINK("https://calendar.google.com/calendar/render?action=TEMPLATE&amp;text="&amp;"Racksa%3A%20"&amp;SUBSTITUTE(SUBSTITUTE(SUBSTITUTE(LEFT(B259,45),"&amp;","y")," ","%20"),"#","")&amp;"%20-%20seguimiento"&amp;"&amp;dates="&amp;YEAR(IF(O259="",TODAY()+3,O259))&amp;RIGHT("0"&amp;MONTH(IF(O259="",TODAY()+3,O259)),2)&amp;RIGHT("0"&amp;DAY(IF(O259="",TODAY()+3,O259)),2)&amp;"/"&amp;YEAR(IF(O259="",TODAY()+4,O259+1))&amp;RIGHT("0"&amp;MONTH(IF(O259="",TODAY()+4,O259+1)),2)&amp;RIGHT("0"&amp;DAY(IF(O259="",TODAY()+4,O259+1)),2),"📅 Agendar"))</f>
        <v/>
      </c>
    </row>
    <row r="260">
      <c r="A260" s="18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9" t="n"/>
      <c r="L260" s="19" t="n"/>
      <c r="M260" s="18" t="n"/>
      <c r="N260" s="18" t="n"/>
      <c r="O260" s="19" t="n"/>
      <c r="P260" s="18">
        <f>IF(L260="","",TODAY()-L260)</f>
        <v/>
      </c>
      <c r="Q260" s="18" t="n"/>
      <c r="R260" s="18" t="n"/>
      <c r="S260" s="18" t="n"/>
      <c r="T260" s="18" t="n"/>
      <c r="U260" s="18" t="n"/>
      <c r="V260" s="20">
        <f>IF(A260="","",HYPERLINK("https://calendar.google.com/calendar/render?action=TEMPLATE&amp;text="&amp;"Racksa%3A%20"&amp;SUBSTITUTE(SUBSTITUTE(SUBSTITUTE(LEFT(B260,45),"&amp;","y")," ","%20"),"#","")&amp;"%20-%20seguimiento"&amp;"&amp;dates="&amp;YEAR(IF(O260="",TODAY()+3,O260))&amp;RIGHT("0"&amp;MONTH(IF(O260="",TODAY()+3,O260)),2)&amp;RIGHT("0"&amp;DAY(IF(O260="",TODAY()+3,O260)),2)&amp;"/"&amp;YEAR(IF(O260="",TODAY()+4,O260+1))&amp;RIGHT("0"&amp;MONTH(IF(O260="",TODAY()+4,O260+1)),2)&amp;RIGHT("0"&amp;DAY(IF(O260="",TODAY()+4,O260+1)),2),"📅 Agendar"))</f>
        <v/>
      </c>
    </row>
    <row r="261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9" t="n"/>
      <c r="L261" s="19" t="n"/>
      <c r="M261" s="18" t="n"/>
      <c r="N261" s="18" t="n"/>
      <c r="O261" s="19" t="n"/>
      <c r="P261" s="18">
        <f>IF(L261="","",TODAY()-L261)</f>
        <v/>
      </c>
      <c r="Q261" s="18" t="n"/>
      <c r="R261" s="18" t="n"/>
      <c r="S261" s="18" t="n"/>
      <c r="T261" s="18" t="n"/>
      <c r="U261" s="18" t="n"/>
      <c r="V261" s="20">
        <f>IF(A261="","",HYPERLINK("https://calendar.google.com/calendar/render?action=TEMPLATE&amp;text="&amp;"Racksa%3A%20"&amp;SUBSTITUTE(SUBSTITUTE(SUBSTITUTE(LEFT(B261,45),"&amp;","y")," ","%20"),"#","")&amp;"%20-%20seguimiento"&amp;"&amp;dates="&amp;YEAR(IF(O261="",TODAY()+3,O261))&amp;RIGHT("0"&amp;MONTH(IF(O261="",TODAY()+3,O261)),2)&amp;RIGHT("0"&amp;DAY(IF(O261="",TODAY()+3,O261)),2)&amp;"/"&amp;YEAR(IF(O261="",TODAY()+4,O261+1))&amp;RIGHT("0"&amp;MONTH(IF(O261="",TODAY()+4,O261+1)),2)&amp;RIGHT("0"&amp;DAY(IF(O261="",TODAY()+4,O261+1)),2),"📅 Agendar"))</f>
        <v/>
      </c>
    </row>
    <row r="262">
      <c r="A262" s="18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9" t="n"/>
      <c r="L262" s="19" t="n"/>
      <c r="M262" s="18" t="n"/>
      <c r="N262" s="18" t="n"/>
      <c r="O262" s="19" t="n"/>
      <c r="P262" s="18">
        <f>IF(L262="","",TODAY()-L262)</f>
        <v/>
      </c>
      <c r="Q262" s="18" t="n"/>
      <c r="R262" s="18" t="n"/>
      <c r="S262" s="18" t="n"/>
      <c r="T262" s="18" t="n"/>
      <c r="U262" s="18" t="n"/>
      <c r="V262" s="20">
        <f>IF(A262="","",HYPERLINK("https://calendar.google.com/calendar/render?action=TEMPLATE&amp;text="&amp;"Racksa%3A%20"&amp;SUBSTITUTE(SUBSTITUTE(SUBSTITUTE(LEFT(B262,45),"&amp;","y")," ","%20"),"#","")&amp;"%20-%20seguimiento"&amp;"&amp;dates="&amp;YEAR(IF(O262="",TODAY()+3,O262))&amp;RIGHT("0"&amp;MONTH(IF(O262="",TODAY()+3,O262)),2)&amp;RIGHT("0"&amp;DAY(IF(O262="",TODAY()+3,O262)),2)&amp;"/"&amp;YEAR(IF(O262="",TODAY()+4,O262+1))&amp;RIGHT("0"&amp;MONTH(IF(O262="",TODAY()+4,O262+1)),2)&amp;RIGHT("0"&amp;DAY(IF(O262="",TODAY()+4,O262+1)),2),"📅 Agendar"))</f>
        <v/>
      </c>
    </row>
    <row r="263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9" t="n"/>
      <c r="L263" s="19" t="n"/>
      <c r="M263" s="18" t="n"/>
      <c r="N263" s="18" t="n"/>
      <c r="O263" s="19" t="n"/>
      <c r="P263" s="18">
        <f>IF(L263="","",TODAY()-L263)</f>
        <v/>
      </c>
      <c r="Q263" s="18" t="n"/>
      <c r="R263" s="18" t="n"/>
      <c r="S263" s="18" t="n"/>
      <c r="T263" s="18" t="n"/>
      <c r="U263" s="18" t="n"/>
      <c r="V263" s="20">
        <f>IF(A263="","",HYPERLINK("https://calendar.google.com/calendar/render?action=TEMPLATE&amp;text="&amp;"Racksa%3A%20"&amp;SUBSTITUTE(SUBSTITUTE(SUBSTITUTE(LEFT(B263,45),"&amp;","y")," ","%20"),"#","")&amp;"%20-%20seguimiento"&amp;"&amp;dates="&amp;YEAR(IF(O263="",TODAY()+3,O263))&amp;RIGHT("0"&amp;MONTH(IF(O263="",TODAY()+3,O263)),2)&amp;RIGHT("0"&amp;DAY(IF(O263="",TODAY()+3,O263)),2)&amp;"/"&amp;YEAR(IF(O263="",TODAY()+4,O263+1))&amp;RIGHT("0"&amp;MONTH(IF(O263="",TODAY()+4,O263+1)),2)&amp;RIGHT("0"&amp;DAY(IF(O263="",TODAY()+4,O263+1)),2),"📅 Agendar"))</f>
        <v/>
      </c>
    </row>
    <row r="264">
      <c r="A264" s="18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9" t="n"/>
      <c r="L264" s="19" t="n"/>
      <c r="M264" s="18" t="n"/>
      <c r="N264" s="18" t="n"/>
      <c r="O264" s="19" t="n"/>
      <c r="P264" s="18">
        <f>IF(L264="","",TODAY()-L264)</f>
        <v/>
      </c>
      <c r="Q264" s="18" t="n"/>
      <c r="R264" s="18" t="n"/>
      <c r="S264" s="18" t="n"/>
      <c r="T264" s="18" t="n"/>
      <c r="U264" s="18" t="n"/>
      <c r="V264" s="20">
        <f>IF(A264="","",HYPERLINK("https://calendar.google.com/calendar/render?action=TEMPLATE&amp;text="&amp;"Racksa%3A%20"&amp;SUBSTITUTE(SUBSTITUTE(SUBSTITUTE(LEFT(B264,45),"&amp;","y")," ","%20"),"#","")&amp;"%20-%20seguimiento"&amp;"&amp;dates="&amp;YEAR(IF(O264="",TODAY()+3,O264))&amp;RIGHT("0"&amp;MONTH(IF(O264="",TODAY()+3,O264)),2)&amp;RIGHT("0"&amp;DAY(IF(O264="",TODAY()+3,O264)),2)&amp;"/"&amp;YEAR(IF(O264="",TODAY()+4,O264+1))&amp;RIGHT("0"&amp;MONTH(IF(O264="",TODAY()+4,O264+1)),2)&amp;RIGHT("0"&amp;DAY(IF(O264="",TODAY()+4,O264+1)),2),"📅 Agendar"))</f>
        <v/>
      </c>
    </row>
    <row r="265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9" t="n"/>
      <c r="L265" s="19" t="n"/>
      <c r="M265" s="18" t="n"/>
      <c r="N265" s="18" t="n"/>
      <c r="O265" s="19" t="n"/>
      <c r="P265" s="18">
        <f>IF(L265="","",TODAY()-L265)</f>
        <v/>
      </c>
      <c r="Q265" s="18" t="n"/>
      <c r="R265" s="18" t="n"/>
      <c r="S265" s="18" t="n"/>
      <c r="T265" s="18" t="n"/>
      <c r="U265" s="18" t="n"/>
      <c r="V265" s="20">
        <f>IF(A265="","",HYPERLINK("https://calendar.google.com/calendar/render?action=TEMPLATE&amp;text="&amp;"Racksa%3A%20"&amp;SUBSTITUTE(SUBSTITUTE(SUBSTITUTE(LEFT(B265,45),"&amp;","y")," ","%20"),"#","")&amp;"%20-%20seguimiento"&amp;"&amp;dates="&amp;YEAR(IF(O265="",TODAY()+3,O265))&amp;RIGHT("0"&amp;MONTH(IF(O265="",TODAY()+3,O265)),2)&amp;RIGHT("0"&amp;DAY(IF(O265="",TODAY()+3,O265)),2)&amp;"/"&amp;YEAR(IF(O265="",TODAY()+4,O265+1))&amp;RIGHT("0"&amp;MONTH(IF(O265="",TODAY()+4,O265+1)),2)&amp;RIGHT("0"&amp;DAY(IF(O265="",TODAY()+4,O265+1)),2),"📅 Agendar"))</f>
        <v/>
      </c>
    </row>
    <row r="266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9" t="n"/>
      <c r="L266" s="19" t="n"/>
      <c r="M266" s="18" t="n"/>
      <c r="N266" s="18" t="n"/>
      <c r="O266" s="19" t="n"/>
      <c r="P266" s="18">
        <f>IF(L266="","",TODAY()-L266)</f>
        <v/>
      </c>
      <c r="Q266" s="18" t="n"/>
      <c r="R266" s="18" t="n"/>
      <c r="S266" s="18" t="n"/>
      <c r="T266" s="18" t="n"/>
      <c r="U266" s="18" t="n"/>
      <c r="V266" s="20">
        <f>IF(A266="","",HYPERLINK("https://calendar.google.com/calendar/render?action=TEMPLATE&amp;text="&amp;"Racksa%3A%20"&amp;SUBSTITUTE(SUBSTITUTE(SUBSTITUTE(LEFT(B266,45),"&amp;","y")," ","%20"),"#","")&amp;"%20-%20seguimiento"&amp;"&amp;dates="&amp;YEAR(IF(O266="",TODAY()+3,O266))&amp;RIGHT("0"&amp;MONTH(IF(O266="",TODAY()+3,O266)),2)&amp;RIGHT("0"&amp;DAY(IF(O266="",TODAY()+3,O266)),2)&amp;"/"&amp;YEAR(IF(O266="",TODAY()+4,O266+1))&amp;RIGHT("0"&amp;MONTH(IF(O266="",TODAY()+4,O266+1)),2)&amp;RIGHT("0"&amp;DAY(IF(O266="",TODAY()+4,O266+1)),2),"📅 Agendar"))</f>
        <v/>
      </c>
    </row>
    <row r="267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9" t="n"/>
      <c r="L267" s="19" t="n"/>
      <c r="M267" s="18" t="n"/>
      <c r="N267" s="18" t="n"/>
      <c r="O267" s="19" t="n"/>
      <c r="P267" s="18">
        <f>IF(L267="","",TODAY()-L267)</f>
        <v/>
      </c>
      <c r="Q267" s="18" t="n"/>
      <c r="R267" s="18" t="n"/>
      <c r="S267" s="18" t="n"/>
      <c r="T267" s="18" t="n"/>
      <c r="U267" s="18" t="n"/>
      <c r="V267" s="20">
        <f>IF(A267="","",HYPERLINK("https://calendar.google.com/calendar/render?action=TEMPLATE&amp;text="&amp;"Racksa%3A%20"&amp;SUBSTITUTE(SUBSTITUTE(SUBSTITUTE(LEFT(B267,45),"&amp;","y")," ","%20"),"#","")&amp;"%20-%20seguimiento"&amp;"&amp;dates="&amp;YEAR(IF(O267="",TODAY()+3,O267))&amp;RIGHT("0"&amp;MONTH(IF(O267="",TODAY()+3,O267)),2)&amp;RIGHT("0"&amp;DAY(IF(O267="",TODAY()+3,O267)),2)&amp;"/"&amp;YEAR(IF(O267="",TODAY()+4,O267+1))&amp;RIGHT("0"&amp;MONTH(IF(O267="",TODAY()+4,O267+1)),2)&amp;RIGHT("0"&amp;DAY(IF(O267="",TODAY()+4,O267+1)),2),"📅 Agendar"))</f>
        <v/>
      </c>
    </row>
    <row r="268">
      <c r="A268" s="18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9" t="n"/>
      <c r="L268" s="19" t="n"/>
      <c r="M268" s="18" t="n"/>
      <c r="N268" s="18" t="n"/>
      <c r="O268" s="19" t="n"/>
      <c r="P268" s="18">
        <f>IF(L268="","",TODAY()-L268)</f>
        <v/>
      </c>
      <c r="Q268" s="18" t="n"/>
      <c r="R268" s="18" t="n"/>
      <c r="S268" s="18" t="n"/>
      <c r="T268" s="18" t="n"/>
      <c r="U268" s="18" t="n"/>
      <c r="V268" s="20">
        <f>IF(A268="","",HYPERLINK("https://calendar.google.com/calendar/render?action=TEMPLATE&amp;text="&amp;"Racksa%3A%20"&amp;SUBSTITUTE(SUBSTITUTE(SUBSTITUTE(LEFT(B268,45),"&amp;","y")," ","%20"),"#","")&amp;"%20-%20seguimiento"&amp;"&amp;dates="&amp;YEAR(IF(O268="",TODAY()+3,O268))&amp;RIGHT("0"&amp;MONTH(IF(O268="",TODAY()+3,O268)),2)&amp;RIGHT("0"&amp;DAY(IF(O268="",TODAY()+3,O268)),2)&amp;"/"&amp;YEAR(IF(O268="",TODAY()+4,O268+1))&amp;RIGHT("0"&amp;MONTH(IF(O268="",TODAY()+4,O268+1)),2)&amp;RIGHT("0"&amp;DAY(IF(O268="",TODAY()+4,O268+1)),2),"📅 Agendar"))</f>
        <v/>
      </c>
    </row>
    <row r="269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9" t="n"/>
      <c r="L269" s="19" t="n"/>
      <c r="M269" s="18" t="n"/>
      <c r="N269" s="18" t="n"/>
      <c r="O269" s="19" t="n"/>
      <c r="P269" s="18">
        <f>IF(L269="","",TODAY()-L269)</f>
        <v/>
      </c>
      <c r="Q269" s="18" t="n"/>
      <c r="R269" s="18" t="n"/>
      <c r="S269" s="18" t="n"/>
      <c r="T269" s="18" t="n"/>
      <c r="U269" s="18" t="n"/>
      <c r="V269" s="20">
        <f>IF(A269="","",HYPERLINK("https://calendar.google.com/calendar/render?action=TEMPLATE&amp;text="&amp;"Racksa%3A%20"&amp;SUBSTITUTE(SUBSTITUTE(SUBSTITUTE(LEFT(B269,45),"&amp;","y")," ","%20"),"#","")&amp;"%20-%20seguimiento"&amp;"&amp;dates="&amp;YEAR(IF(O269="",TODAY()+3,O269))&amp;RIGHT("0"&amp;MONTH(IF(O269="",TODAY()+3,O269)),2)&amp;RIGHT("0"&amp;DAY(IF(O269="",TODAY()+3,O269)),2)&amp;"/"&amp;YEAR(IF(O269="",TODAY()+4,O269+1))&amp;RIGHT("0"&amp;MONTH(IF(O269="",TODAY()+4,O269+1)),2)&amp;RIGHT("0"&amp;DAY(IF(O269="",TODAY()+4,O269+1)),2),"📅 Agendar"))</f>
        <v/>
      </c>
    </row>
    <row r="270">
      <c r="A270" s="18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9" t="n"/>
      <c r="L270" s="19" t="n"/>
      <c r="M270" s="18" t="n"/>
      <c r="N270" s="18" t="n"/>
      <c r="O270" s="19" t="n"/>
      <c r="P270" s="18">
        <f>IF(L270="","",TODAY()-L270)</f>
        <v/>
      </c>
      <c r="Q270" s="18" t="n"/>
      <c r="R270" s="18" t="n"/>
      <c r="S270" s="18" t="n"/>
      <c r="T270" s="18" t="n"/>
      <c r="U270" s="18" t="n"/>
      <c r="V270" s="20">
        <f>IF(A270="","",HYPERLINK("https://calendar.google.com/calendar/render?action=TEMPLATE&amp;text="&amp;"Racksa%3A%20"&amp;SUBSTITUTE(SUBSTITUTE(SUBSTITUTE(LEFT(B270,45),"&amp;","y")," ","%20"),"#","")&amp;"%20-%20seguimiento"&amp;"&amp;dates="&amp;YEAR(IF(O270="",TODAY()+3,O270))&amp;RIGHT("0"&amp;MONTH(IF(O270="",TODAY()+3,O270)),2)&amp;RIGHT("0"&amp;DAY(IF(O270="",TODAY()+3,O270)),2)&amp;"/"&amp;YEAR(IF(O270="",TODAY()+4,O270+1))&amp;RIGHT("0"&amp;MONTH(IF(O270="",TODAY()+4,O270+1)),2)&amp;RIGHT("0"&amp;DAY(IF(O270="",TODAY()+4,O270+1)),2),"📅 Agendar"))</f>
        <v/>
      </c>
    </row>
    <row r="271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9" t="n"/>
      <c r="L271" s="19" t="n"/>
      <c r="M271" s="18" t="n"/>
      <c r="N271" s="18" t="n"/>
      <c r="O271" s="19" t="n"/>
      <c r="P271" s="18">
        <f>IF(L271="","",TODAY()-L271)</f>
        <v/>
      </c>
      <c r="Q271" s="18" t="n"/>
      <c r="R271" s="18" t="n"/>
      <c r="S271" s="18" t="n"/>
      <c r="T271" s="18" t="n"/>
      <c r="U271" s="18" t="n"/>
      <c r="V271" s="20">
        <f>IF(A271="","",HYPERLINK("https://calendar.google.com/calendar/render?action=TEMPLATE&amp;text="&amp;"Racksa%3A%20"&amp;SUBSTITUTE(SUBSTITUTE(SUBSTITUTE(LEFT(B271,45),"&amp;","y")," ","%20"),"#","")&amp;"%20-%20seguimiento"&amp;"&amp;dates="&amp;YEAR(IF(O271="",TODAY()+3,O271))&amp;RIGHT("0"&amp;MONTH(IF(O271="",TODAY()+3,O271)),2)&amp;RIGHT("0"&amp;DAY(IF(O271="",TODAY()+3,O271)),2)&amp;"/"&amp;YEAR(IF(O271="",TODAY()+4,O271+1))&amp;RIGHT("0"&amp;MONTH(IF(O271="",TODAY()+4,O271+1)),2)&amp;RIGHT("0"&amp;DAY(IF(O271="",TODAY()+4,O271+1)),2),"📅 Agendar"))</f>
        <v/>
      </c>
    </row>
    <row r="272">
      <c r="A272" s="18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9" t="n"/>
      <c r="L272" s="19" t="n"/>
      <c r="M272" s="18" t="n"/>
      <c r="N272" s="18" t="n"/>
      <c r="O272" s="19" t="n"/>
      <c r="P272" s="18">
        <f>IF(L272="","",TODAY()-L272)</f>
        <v/>
      </c>
      <c r="Q272" s="18" t="n"/>
      <c r="R272" s="18" t="n"/>
      <c r="S272" s="18" t="n"/>
      <c r="T272" s="18" t="n"/>
      <c r="U272" s="18" t="n"/>
      <c r="V272" s="20">
        <f>IF(A272="","",HYPERLINK("https://calendar.google.com/calendar/render?action=TEMPLATE&amp;text="&amp;"Racksa%3A%20"&amp;SUBSTITUTE(SUBSTITUTE(SUBSTITUTE(LEFT(B272,45),"&amp;","y")," ","%20"),"#","")&amp;"%20-%20seguimiento"&amp;"&amp;dates="&amp;YEAR(IF(O272="",TODAY()+3,O272))&amp;RIGHT("0"&amp;MONTH(IF(O272="",TODAY()+3,O272)),2)&amp;RIGHT("0"&amp;DAY(IF(O272="",TODAY()+3,O272)),2)&amp;"/"&amp;YEAR(IF(O272="",TODAY()+4,O272+1))&amp;RIGHT("0"&amp;MONTH(IF(O272="",TODAY()+4,O272+1)),2)&amp;RIGHT("0"&amp;DAY(IF(O272="",TODAY()+4,O272+1)),2),"📅 Agendar"))</f>
        <v/>
      </c>
    </row>
    <row r="273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9" t="n"/>
      <c r="L273" s="19" t="n"/>
      <c r="M273" s="18" t="n"/>
      <c r="N273" s="18" t="n"/>
      <c r="O273" s="19" t="n"/>
      <c r="P273" s="18">
        <f>IF(L273="","",TODAY()-L273)</f>
        <v/>
      </c>
      <c r="Q273" s="18" t="n"/>
      <c r="R273" s="18" t="n"/>
      <c r="S273" s="18" t="n"/>
      <c r="T273" s="18" t="n"/>
      <c r="U273" s="18" t="n"/>
      <c r="V273" s="20">
        <f>IF(A273="","",HYPERLINK("https://calendar.google.com/calendar/render?action=TEMPLATE&amp;text="&amp;"Racksa%3A%20"&amp;SUBSTITUTE(SUBSTITUTE(SUBSTITUTE(LEFT(B273,45),"&amp;","y")," ","%20"),"#","")&amp;"%20-%20seguimiento"&amp;"&amp;dates="&amp;YEAR(IF(O273="",TODAY()+3,O273))&amp;RIGHT("0"&amp;MONTH(IF(O273="",TODAY()+3,O273)),2)&amp;RIGHT("0"&amp;DAY(IF(O273="",TODAY()+3,O273)),2)&amp;"/"&amp;YEAR(IF(O273="",TODAY()+4,O273+1))&amp;RIGHT("0"&amp;MONTH(IF(O273="",TODAY()+4,O273+1)),2)&amp;RIGHT("0"&amp;DAY(IF(O273="",TODAY()+4,O273+1)),2),"📅 Agendar"))</f>
        <v/>
      </c>
    </row>
    <row r="274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9" t="n"/>
      <c r="L274" s="19" t="n"/>
      <c r="M274" s="18" t="n"/>
      <c r="N274" s="18" t="n"/>
      <c r="O274" s="19" t="n"/>
      <c r="P274" s="18">
        <f>IF(L274="","",TODAY()-L274)</f>
        <v/>
      </c>
      <c r="Q274" s="18" t="n"/>
      <c r="R274" s="18" t="n"/>
      <c r="S274" s="18" t="n"/>
      <c r="T274" s="18" t="n"/>
      <c r="U274" s="18" t="n"/>
      <c r="V274" s="20">
        <f>IF(A274="","",HYPERLINK("https://calendar.google.com/calendar/render?action=TEMPLATE&amp;text="&amp;"Racksa%3A%20"&amp;SUBSTITUTE(SUBSTITUTE(SUBSTITUTE(LEFT(B274,45),"&amp;","y")," ","%20"),"#","")&amp;"%20-%20seguimiento"&amp;"&amp;dates="&amp;YEAR(IF(O274="",TODAY()+3,O274))&amp;RIGHT("0"&amp;MONTH(IF(O274="",TODAY()+3,O274)),2)&amp;RIGHT("0"&amp;DAY(IF(O274="",TODAY()+3,O274)),2)&amp;"/"&amp;YEAR(IF(O274="",TODAY()+4,O274+1))&amp;RIGHT("0"&amp;MONTH(IF(O274="",TODAY()+4,O274+1)),2)&amp;RIGHT("0"&amp;DAY(IF(O274="",TODAY()+4,O274+1)),2),"📅 Agendar"))</f>
        <v/>
      </c>
    </row>
    <row r="275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9" t="n"/>
      <c r="L275" s="19" t="n"/>
      <c r="M275" s="18" t="n"/>
      <c r="N275" s="18" t="n"/>
      <c r="O275" s="19" t="n"/>
      <c r="P275" s="18">
        <f>IF(L275="","",TODAY()-L275)</f>
        <v/>
      </c>
      <c r="Q275" s="18" t="n"/>
      <c r="R275" s="18" t="n"/>
      <c r="S275" s="18" t="n"/>
      <c r="T275" s="18" t="n"/>
      <c r="U275" s="18" t="n"/>
      <c r="V275" s="20">
        <f>IF(A275="","",HYPERLINK("https://calendar.google.com/calendar/render?action=TEMPLATE&amp;text="&amp;"Racksa%3A%20"&amp;SUBSTITUTE(SUBSTITUTE(SUBSTITUTE(LEFT(B275,45),"&amp;","y")," ","%20"),"#","")&amp;"%20-%20seguimiento"&amp;"&amp;dates="&amp;YEAR(IF(O275="",TODAY()+3,O275))&amp;RIGHT("0"&amp;MONTH(IF(O275="",TODAY()+3,O275)),2)&amp;RIGHT("0"&amp;DAY(IF(O275="",TODAY()+3,O275)),2)&amp;"/"&amp;YEAR(IF(O275="",TODAY()+4,O275+1))&amp;RIGHT("0"&amp;MONTH(IF(O275="",TODAY()+4,O275+1)),2)&amp;RIGHT("0"&amp;DAY(IF(O275="",TODAY()+4,O275+1)),2),"📅 Agendar"))</f>
        <v/>
      </c>
    </row>
    <row r="276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9" t="n"/>
      <c r="L276" s="19" t="n"/>
      <c r="M276" s="18" t="n"/>
      <c r="N276" s="18" t="n"/>
      <c r="O276" s="19" t="n"/>
      <c r="P276" s="18">
        <f>IF(L276="","",TODAY()-L276)</f>
        <v/>
      </c>
      <c r="Q276" s="18" t="n"/>
      <c r="R276" s="18" t="n"/>
      <c r="S276" s="18" t="n"/>
      <c r="T276" s="18" t="n"/>
      <c r="U276" s="18" t="n"/>
      <c r="V276" s="20">
        <f>IF(A276="","",HYPERLINK("https://calendar.google.com/calendar/render?action=TEMPLATE&amp;text="&amp;"Racksa%3A%20"&amp;SUBSTITUTE(SUBSTITUTE(SUBSTITUTE(LEFT(B276,45),"&amp;","y")," ","%20"),"#","")&amp;"%20-%20seguimiento"&amp;"&amp;dates="&amp;YEAR(IF(O276="",TODAY()+3,O276))&amp;RIGHT("0"&amp;MONTH(IF(O276="",TODAY()+3,O276)),2)&amp;RIGHT("0"&amp;DAY(IF(O276="",TODAY()+3,O276)),2)&amp;"/"&amp;YEAR(IF(O276="",TODAY()+4,O276+1))&amp;RIGHT("0"&amp;MONTH(IF(O276="",TODAY()+4,O276+1)),2)&amp;RIGHT("0"&amp;DAY(IF(O276="",TODAY()+4,O276+1)),2),"📅 Agendar"))</f>
        <v/>
      </c>
    </row>
    <row r="277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9" t="n"/>
      <c r="L277" s="19" t="n"/>
      <c r="M277" s="18" t="n"/>
      <c r="N277" s="18" t="n"/>
      <c r="O277" s="19" t="n"/>
      <c r="P277" s="18">
        <f>IF(L277="","",TODAY()-L277)</f>
        <v/>
      </c>
      <c r="Q277" s="18" t="n"/>
      <c r="R277" s="18" t="n"/>
      <c r="S277" s="18" t="n"/>
      <c r="T277" s="18" t="n"/>
      <c r="U277" s="18" t="n"/>
      <c r="V277" s="20">
        <f>IF(A277="","",HYPERLINK("https://calendar.google.com/calendar/render?action=TEMPLATE&amp;text="&amp;"Racksa%3A%20"&amp;SUBSTITUTE(SUBSTITUTE(SUBSTITUTE(LEFT(B277,45),"&amp;","y")," ","%20"),"#","")&amp;"%20-%20seguimiento"&amp;"&amp;dates="&amp;YEAR(IF(O277="",TODAY()+3,O277))&amp;RIGHT("0"&amp;MONTH(IF(O277="",TODAY()+3,O277)),2)&amp;RIGHT("0"&amp;DAY(IF(O277="",TODAY()+3,O277)),2)&amp;"/"&amp;YEAR(IF(O277="",TODAY()+4,O277+1))&amp;RIGHT("0"&amp;MONTH(IF(O277="",TODAY()+4,O277+1)),2)&amp;RIGHT("0"&amp;DAY(IF(O277="",TODAY()+4,O277+1)),2),"📅 Agendar"))</f>
        <v/>
      </c>
    </row>
    <row r="278">
      <c r="A278" s="18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9" t="n"/>
      <c r="L278" s="19" t="n"/>
      <c r="M278" s="18" t="n"/>
      <c r="N278" s="18" t="n"/>
      <c r="O278" s="19" t="n"/>
      <c r="P278" s="18">
        <f>IF(L278="","",TODAY()-L278)</f>
        <v/>
      </c>
      <c r="Q278" s="18" t="n"/>
      <c r="R278" s="18" t="n"/>
      <c r="S278" s="18" t="n"/>
      <c r="T278" s="18" t="n"/>
      <c r="U278" s="18" t="n"/>
      <c r="V278" s="20">
        <f>IF(A278="","",HYPERLINK("https://calendar.google.com/calendar/render?action=TEMPLATE&amp;text="&amp;"Racksa%3A%20"&amp;SUBSTITUTE(SUBSTITUTE(SUBSTITUTE(LEFT(B278,45),"&amp;","y")," ","%20"),"#","")&amp;"%20-%20seguimiento"&amp;"&amp;dates="&amp;YEAR(IF(O278="",TODAY()+3,O278))&amp;RIGHT("0"&amp;MONTH(IF(O278="",TODAY()+3,O278)),2)&amp;RIGHT("0"&amp;DAY(IF(O278="",TODAY()+3,O278)),2)&amp;"/"&amp;YEAR(IF(O278="",TODAY()+4,O278+1))&amp;RIGHT("0"&amp;MONTH(IF(O278="",TODAY()+4,O278+1)),2)&amp;RIGHT("0"&amp;DAY(IF(O278="",TODAY()+4,O278+1)),2),"📅 Agendar"))</f>
        <v/>
      </c>
    </row>
    <row r="279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9" t="n"/>
      <c r="L279" s="19" t="n"/>
      <c r="M279" s="18" t="n"/>
      <c r="N279" s="18" t="n"/>
      <c r="O279" s="19" t="n"/>
      <c r="P279" s="18">
        <f>IF(L279="","",TODAY()-L279)</f>
        <v/>
      </c>
      <c r="Q279" s="18" t="n"/>
      <c r="R279" s="18" t="n"/>
      <c r="S279" s="18" t="n"/>
      <c r="T279" s="18" t="n"/>
      <c r="U279" s="18" t="n"/>
      <c r="V279" s="20">
        <f>IF(A279="","",HYPERLINK("https://calendar.google.com/calendar/render?action=TEMPLATE&amp;text="&amp;"Racksa%3A%20"&amp;SUBSTITUTE(SUBSTITUTE(SUBSTITUTE(LEFT(B279,45),"&amp;","y")," ","%20"),"#","")&amp;"%20-%20seguimiento"&amp;"&amp;dates="&amp;YEAR(IF(O279="",TODAY()+3,O279))&amp;RIGHT("0"&amp;MONTH(IF(O279="",TODAY()+3,O279)),2)&amp;RIGHT("0"&amp;DAY(IF(O279="",TODAY()+3,O279)),2)&amp;"/"&amp;YEAR(IF(O279="",TODAY()+4,O279+1))&amp;RIGHT("0"&amp;MONTH(IF(O279="",TODAY()+4,O279+1)),2)&amp;RIGHT("0"&amp;DAY(IF(O279="",TODAY()+4,O279+1)),2),"📅 Agendar"))</f>
        <v/>
      </c>
    </row>
    <row r="280">
      <c r="A280" s="18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9" t="n"/>
      <c r="L280" s="19" t="n"/>
      <c r="M280" s="18" t="n"/>
      <c r="N280" s="18" t="n"/>
      <c r="O280" s="19" t="n"/>
      <c r="P280" s="18">
        <f>IF(L280="","",TODAY()-L280)</f>
        <v/>
      </c>
      <c r="Q280" s="18" t="n"/>
      <c r="R280" s="18" t="n"/>
      <c r="S280" s="18" t="n"/>
      <c r="T280" s="18" t="n"/>
      <c r="U280" s="18" t="n"/>
      <c r="V280" s="20">
        <f>IF(A280="","",HYPERLINK("https://calendar.google.com/calendar/render?action=TEMPLATE&amp;text="&amp;"Racksa%3A%20"&amp;SUBSTITUTE(SUBSTITUTE(SUBSTITUTE(LEFT(B280,45),"&amp;","y")," ","%20"),"#","")&amp;"%20-%20seguimiento"&amp;"&amp;dates="&amp;YEAR(IF(O280="",TODAY()+3,O280))&amp;RIGHT("0"&amp;MONTH(IF(O280="",TODAY()+3,O280)),2)&amp;RIGHT("0"&amp;DAY(IF(O280="",TODAY()+3,O280)),2)&amp;"/"&amp;YEAR(IF(O280="",TODAY()+4,O280+1))&amp;RIGHT("0"&amp;MONTH(IF(O280="",TODAY()+4,O280+1)),2)&amp;RIGHT("0"&amp;DAY(IF(O280="",TODAY()+4,O280+1)),2),"📅 Agendar"))</f>
        <v/>
      </c>
    </row>
    <row r="281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9" t="n"/>
      <c r="L281" s="19" t="n"/>
      <c r="M281" s="18" t="n"/>
      <c r="N281" s="18" t="n"/>
      <c r="O281" s="19" t="n"/>
      <c r="P281" s="18">
        <f>IF(L281="","",TODAY()-L281)</f>
        <v/>
      </c>
      <c r="Q281" s="18" t="n"/>
      <c r="R281" s="18" t="n"/>
      <c r="S281" s="18" t="n"/>
      <c r="T281" s="18" t="n"/>
      <c r="U281" s="18" t="n"/>
      <c r="V281" s="20">
        <f>IF(A281="","",HYPERLINK("https://calendar.google.com/calendar/render?action=TEMPLATE&amp;text="&amp;"Racksa%3A%20"&amp;SUBSTITUTE(SUBSTITUTE(SUBSTITUTE(LEFT(B281,45),"&amp;","y")," ","%20"),"#","")&amp;"%20-%20seguimiento"&amp;"&amp;dates="&amp;YEAR(IF(O281="",TODAY()+3,O281))&amp;RIGHT("0"&amp;MONTH(IF(O281="",TODAY()+3,O281)),2)&amp;RIGHT("0"&amp;DAY(IF(O281="",TODAY()+3,O281)),2)&amp;"/"&amp;YEAR(IF(O281="",TODAY()+4,O281+1))&amp;RIGHT("0"&amp;MONTH(IF(O281="",TODAY()+4,O281+1)),2)&amp;RIGHT("0"&amp;DAY(IF(O281="",TODAY()+4,O281+1)),2),"📅 Agendar"))</f>
        <v/>
      </c>
    </row>
    <row r="282">
      <c r="A282" s="18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9" t="n"/>
      <c r="L282" s="19" t="n"/>
      <c r="M282" s="18" t="n"/>
      <c r="N282" s="18" t="n"/>
      <c r="O282" s="19" t="n"/>
      <c r="P282" s="18">
        <f>IF(L282="","",TODAY()-L282)</f>
        <v/>
      </c>
      <c r="Q282" s="18" t="n"/>
      <c r="R282" s="18" t="n"/>
      <c r="S282" s="18" t="n"/>
      <c r="T282" s="18" t="n"/>
      <c r="U282" s="18" t="n"/>
      <c r="V282" s="20">
        <f>IF(A282="","",HYPERLINK("https://calendar.google.com/calendar/render?action=TEMPLATE&amp;text="&amp;"Racksa%3A%20"&amp;SUBSTITUTE(SUBSTITUTE(SUBSTITUTE(LEFT(B282,45),"&amp;","y")," ","%20"),"#","")&amp;"%20-%20seguimiento"&amp;"&amp;dates="&amp;YEAR(IF(O282="",TODAY()+3,O282))&amp;RIGHT("0"&amp;MONTH(IF(O282="",TODAY()+3,O282)),2)&amp;RIGHT("0"&amp;DAY(IF(O282="",TODAY()+3,O282)),2)&amp;"/"&amp;YEAR(IF(O282="",TODAY()+4,O282+1))&amp;RIGHT("0"&amp;MONTH(IF(O282="",TODAY()+4,O282+1)),2)&amp;RIGHT("0"&amp;DAY(IF(O282="",TODAY()+4,O282+1)),2),"📅 Agendar"))</f>
        <v/>
      </c>
    </row>
    <row r="283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9" t="n"/>
      <c r="L283" s="19" t="n"/>
      <c r="M283" s="18" t="n"/>
      <c r="N283" s="18" t="n"/>
      <c r="O283" s="19" t="n"/>
      <c r="P283" s="18">
        <f>IF(L283="","",TODAY()-L283)</f>
        <v/>
      </c>
      <c r="Q283" s="18" t="n"/>
      <c r="R283" s="18" t="n"/>
      <c r="S283" s="18" t="n"/>
      <c r="T283" s="18" t="n"/>
      <c r="U283" s="18" t="n"/>
      <c r="V283" s="20">
        <f>IF(A283="","",HYPERLINK("https://calendar.google.com/calendar/render?action=TEMPLATE&amp;text="&amp;"Racksa%3A%20"&amp;SUBSTITUTE(SUBSTITUTE(SUBSTITUTE(LEFT(B283,45),"&amp;","y")," ","%20"),"#","")&amp;"%20-%20seguimiento"&amp;"&amp;dates="&amp;YEAR(IF(O283="",TODAY()+3,O283))&amp;RIGHT("0"&amp;MONTH(IF(O283="",TODAY()+3,O283)),2)&amp;RIGHT("0"&amp;DAY(IF(O283="",TODAY()+3,O283)),2)&amp;"/"&amp;YEAR(IF(O283="",TODAY()+4,O283+1))&amp;RIGHT("0"&amp;MONTH(IF(O283="",TODAY()+4,O283+1)),2)&amp;RIGHT("0"&amp;DAY(IF(O283="",TODAY()+4,O283+1)),2),"📅 Agendar"))</f>
        <v/>
      </c>
    </row>
    <row r="284">
      <c r="A284" s="18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9" t="n"/>
      <c r="L284" s="19" t="n"/>
      <c r="M284" s="18" t="n"/>
      <c r="N284" s="18" t="n"/>
      <c r="O284" s="19" t="n"/>
      <c r="P284" s="18">
        <f>IF(L284="","",TODAY()-L284)</f>
        <v/>
      </c>
      <c r="Q284" s="18" t="n"/>
      <c r="R284" s="18" t="n"/>
      <c r="S284" s="18" t="n"/>
      <c r="T284" s="18" t="n"/>
      <c r="U284" s="18" t="n"/>
      <c r="V284" s="20">
        <f>IF(A284="","",HYPERLINK("https://calendar.google.com/calendar/render?action=TEMPLATE&amp;text="&amp;"Racksa%3A%20"&amp;SUBSTITUTE(SUBSTITUTE(SUBSTITUTE(LEFT(B284,45),"&amp;","y")," ","%20"),"#","")&amp;"%20-%20seguimiento"&amp;"&amp;dates="&amp;YEAR(IF(O284="",TODAY()+3,O284))&amp;RIGHT("0"&amp;MONTH(IF(O284="",TODAY()+3,O284)),2)&amp;RIGHT("0"&amp;DAY(IF(O284="",TODAY()+3,O284)),2)&amp;"/"&amp;YEAR(IF(O284="",TODAY()+4,O284+1))&amp;RIGHT("0"&amp;MONTH(IF(O284="",TODAY()+4,O284+1)),2)&amp;RIGHT("0"&amp;DAY(IF(O284="",TODAY()+4,O284+1)),2),"📅 Agendar"))</f>
        <v/>
      </c>
    </row>
    <row r="285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9" t="n"/>
      <c r="L285" s="19" t="n"/>
      <c r="M285" s="18" t="n"/>
      <c r="N285" s="18" t="n"/>
      <c r="O285" s="19" t="n"/>
      <c r="P285" s="18">
        <f>IF(L285="","",TODAY()-L285)</f>
        <v/>
      </c>
      <c r="Q285" s="18" t="n"/>
      <c r="R285" s="18" t="n"/>
      <c r="S285" s="18" t="n"/>
      <c r="T285" s="18" t="n"/>
      <c r="U285" s="18" t="n"/>
      <c r="V285" s="20">
        <f>IF(A285="","",HYPERLINK("https://calendar.google.com/calendar/render?action=TEMPLATE&amp;text="&amp;"Racksa%3A%20"&amp;SUBSTITUTE(SUBSTITUTE(SUBSTITUTE(LEFT(B285,45),"&amp;","y")," ","%20"),"#","")&amp;"%20-%20seguimiento"&amp;"&amp;dates="&amp;YEAR(IF(O285="",TODAY()+3,O285))&amp;RIGHT("0"&amp;MONTH(IF(O285="",TODAY()+3,O285)),2)&amp;RIGHT("0"&amp;DAY(IF(O285="",TODAY()+3,O285)),2)&amp;"/"&amp;YEAR(IF(O285="",TODAY()+4,O285+1))&amp;RIGHT("0"&amp;MONTH(IF(O285="",TODAY()+4,O285+1)),2)&amp;RIGHT("0"&amp;DAY(IF(O285="",TODAY()+4,O285+1)),2),"📅 Agendar"))</f>
        <v/>
      </c>
    </row>
    <row r="286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9" t="n"/>
      <c r="L286" s="19" t="n"/>
      <c r="M286" s="18" t="n"/>
      <c r="N286" s="18" t="n"/>
      <c r="O286" s="19" t="n"/>
      <c r="P286" s="18">
        <f>IF(L286="","",TODAY()-L286)</f>
        <v/>
      </c>
      <c r="Q286" s="18" t="n"/>
      <c r="R286" s="18" t="n"/>
      <c r="S286" s="18" t="n"/>
      <c r="T286" s="18" t="n"/>
      <c r="U286" s="18" t="n"/>
      <c r="V286" s="20">
        <f>IF(A286="","",HYPERLINK("https://calendar.google.com/calendar/render?action=TEMPLATE&amp;text="&amp;"Racksa%3A%20"&amp;SUBSTITUTE(SUBSTITUTE(SUBSTITUTE(LEFT(B286,45),"&amp;","y")," ","%20"),"#","")&amp;"%20-%20seguimiento"&amp;"&amp;dates="&amp;YEAR(IF(O286="",TODAY()+3,O286))&amp;RIGHT("0"&amp;MONTH(IF(O286="",TODAY()+3,O286)),2)&amp;RIGHT("0"&amp;DAY(IF(O286="",TODAY()+3,O286)),2)&amp;"/"&amp;YEAR(IF(O286="",TODAY()+4,O286+1))&amp;RIGHT("0"&amp;MONTH(IF(O286="",TODAY()+4,O286+1)),2)&amp;RIGHT("0"&amp;DAY(IF(O286="",TODAY()+4,O286+1)),2),"📅 Agendar"))</f>
        <v/>
      </c>
    </row>
    <row r="287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9" t="n"/>
      <c r="L287" s="19" t="n"/>
      <c r="M287" s="18" t="n"/>
      <c r="N287" s="18" t="n"/>
      <c r="O287" s="19" t="n"/>
      <c r="P287" s="18">
        <f>IF(L287="","",TODAY()-L287)</f>
        <v/>
      </c>
      <c r="Q287" s="18" t="n"/>
      <c r="R287" s="18" t="n"/>
      <c r="S287" s="18" t="n"/>
      <c r="T287" s="18" t="n"/>
      <c r="U287" s="18" t="n"/>
      <c r="V287" s="20">
        <f>IF(A287="","",HYPERLINK("https://calendar.google.com/calendar/render?action=TEMPLATE&amp;text="&amp;"Racksa%3A%20"&amp;SUBSTITUTE(SUBSTITUTE(SUBSTITUTE(LEFT(B287,45),"&amp;","y")," ","%20"),"#","")&amp;"%20-%20seguimiento"&amp;"&amp;dates="&amp;YEAR(IF(O287="",TODAY()+3,O287))&amp;RIGHT("0"&amp;MONTH(IF(O287="",TODAY()+3,O287)),2)&amp;RIGHT("0"&amp;DAY(IF(O287="",TODAY()+3,O287)),2)&amp;"/"&amp;YEAR(IF(O287="",TODAY()+4,O287+1))&amp;RIGHT("0"&amp;MONTH(IF(O287="",TODAY()+4,O287+1)),2)&amp;RIGHT("0"&amp;DAY(IF(O287="",TODAY()+4,O287+1)),2),"📅 Agendar"))</f>
        <v/>
      </c>
    </row>
    <row r="288">
      <c r="A288" s="18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9" t="n"/>
      <c r="L288" s="19" t="n"/>
      <c r="M288" s="18" t="n"/>
      <c r="N288" s="18" t="n"/>
      <c r="O288" s="19" t="n"/>
      <c r="P288" s="18">
        <f>IF(L288="","",TODAY()-L288)</f>
        <v/>
      </c>
      <c r="Q288" s="18" t="n"/>
      <c r="R288" s="18" t="n"/>
      <c r="S288" s="18" t="n"/>
      <c r="T288" s="18" t="n"/>
      <c r="U288" s="18" t="n"/>
      <c r="V288" s="20">
        <f>IF(A288="","",HYPERLINK("https://calendar.google.com/calendar/render?action=TEMPLATE&amp;text="&amp;"Racksa%3A%20"&amp;SUBSTITUTE(SUBSTITUTE(SUBSTITUTE(LEFT(B288,45),"&amp;","y")," ","%20"),"#","")&amp;"%20-%20seguimiento"&amp;"&amp;dates="&amp;YEAR(IF(O288="",TODAY()+3,O288))&amp;RIGHT("0"&amp;MONTH(IF(O288="",TODAY()+3,O288)),2)&amp;RIGHT("0"&amp;DAY(IF(O288="",TODAY()+3,O288)),2)&amp;"/"&amp;YEAR(IF(O288="",TODAY()+4,O288+1))&amp;RIGHT("0"&amp;MONTH(IF(O288="",TODAY()+4,O288+1)),2)&amp;RIGHT("0"&amp;DAY(IF(O288="",TODAY()+4,O288+1)),2),"📅 Agendar"))</f>
        <v/>
      </c>
    </row>
    <row r="289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9" t="n"/>
      <c r="L289" s="19" t="n"/>
      <c r="M289" s="18" t="n"/>
      <c r="N289" s="18" t="n"/>
      <c r="O289" s="19" t="n"/>
      <c r="P289" s="18">
        <f>IF(L289="","",TODAY()-L289)</f>
        <v/>
      </c>
      <c r="Q289" s="18" t="n"/>
      <c r="R289" s="18" t="n"/>
      <c r="S289" s="18" t="n"/>
      <c r="T289" s="18" t="n"/>
      <c r="U289" s="18" t="n"/>
      <c r="V289" s="20">
        <f>IF(A289="","",HYPERLINK("https://calendar.google.com/calendar/render?action=TEMPLATE&amp;text="&amp;"Racksa%3A%20"&amp;SUBSTITUTE(SUBSTITUTE(SUBSTITUTE(LEFT(B289,45),"&amp;","y")," ","%20"),"#","")&amp;"%20-%20seguimiento"&amp;"&amp;dates="&amp;YEAR(IF(O289="",TODAY()+3,O289))&amp;RIGHT("0"&amp;MONTH(IF(O289="",TODAY()+3,O289)),2)&amp;RIGHT("0"&amp;DAY(IF(O289="",TODAY()+3,O289)),2)&amp;"/"&amp;YEAR(IF(O289="",TODAY()+4,O289+1))&amp;RIGHT("0"&amp;MONTH(IF(O289="",TODAY()+4,O289+1)),2)&amp;RIGHT("0"&amp;DAY(IF(O289="",TODAY()+4,O289+1)),2),"📅 Agendar"))</f>
        <v/>
      </c>
    </row>
    <row r="290">
      <c r="A290" s="18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9" t="n"/>
      <c r="L290" s="19" t="n"/>
      <c r="M290" s="18" t="n"/>
      <c r="N290" s="18" t="n"/>
      <c r="O290" s="19" t="n"/>
      <c r="P290" s="18">
        <f>IF(L290="","",TODAY()-L290)</f>
        <v/>
      </c>
      <c r="Q290" s="18" t="n"/>
      <c r="R290" s="18" t="n"/>
      <c r="S290" s="18" t="n"/>
      <c r="T290" s="18" t="n"/>
      <c r="U290" s="18" t="n"/>
      <c r="V290" s="20">
        <f>IF(A290="","",HYPERLINK("https://calendar.google.com/calendar/render?action=TEMPLATE&amp;text="&amp;"Racksa%3A%20"&amp;SUBSTITUTE(SUBSTITUTE(SUBSTITUTE(LEFT(B290,45),"&amp;","y")," ","%20"),"#","")&amp;"%20-%20seguimiento"&amp;"&amp;dates="&amp;YEAR(IF(O290="",TODAY()+3,O290))&amp;RIGHT("0"&amp;MONTH(IF(O290="",TODAY()+3,O290)),2)&amp;RIGHT("0"&amp;DAY(IF(O290="",TODAY()+3,O290)),2)&amp;"/"&amp;YEAR(IF(O290="",TODAY()+4,O290+1))&amp;RIGHT("0"&amp;MONTH(IF(O290="",TODAY()+4,O290+1)),2)&amp;RIGHT("0"&amp;DAY(IF(O290="",TODAY()+4,O290+1)),2),"📅 Agendar"))</f>
        <v/>
      </c>
    </row>
    <row r="291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9" t="n"/>
      <c r="L291" s="19" t="n"/>
      <c r="M291" s="18" t="n"/>
      <c r="N291" s="18" t="n"/>
      <c r="O291" s="19" t="n"/>
      <c r="P291" s="18">
        <f>IF(L291="","",TODAY()-L291)</f>
        <v/>
      </c>
      <c r="Q291" s="18" t="n"/>
      <c r="R291" s="18" t="n"/>
      <c r="S291" s="18" t="n"/>
      <c r="T291" s="18" t="n"/>
      <c r="U291" s="18" t="n"/>
      <c r="V291" s="20">
        <f>IF(A291="","",HYPERLINK("https://calendar.google.com/calendar/render?action=TEMPLATE&amp;text="&amp;"Racksa%3A%20"&amp;SUBSTITUTE(SUBSTITUTE(SUBSTITUTE(LEFT(B291,45),"&amp;","y")," ","%20"),"#","")&amp;"%20-%20seguimiento"&amp;"&amp;dates="&amp;YEAR(IF(O291="",TODAY()+3,O291))&amp;RIGHT("0"&amp;MONTH(IF(O291="",TODAY()+3,O291)),2)&amp;RIGHT("0"&amp;DAY(IF(O291="",TODAY()+3,O291)),2)&amp;"/"&amp;YEAR(IF(O291="",TODAY()+4,O291+1))&amp;RIGHT("0"&amp;MONTH(IF(O291="",TODAY()+4,O291+1)),2)&amp;RIGHT("0"&amp;DAY(IF(O291="",TODAY()+4,O291+1)),2),"📅 Agendar"))</f>
        <v/>
      </c>
    </row>
    <row r="292">
      <c r="A292" s="18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9" t="n"/>
      <c r="L292" s="19" t="n"/>
      <c r="M292" s="18" t="n"/>
      <c r="N292" s="18" t="n"/>
      <c r="O292" s="19" t="n"/>
      <c r="P292" s="18">
        <f>IF(L292="","",TODAY()-L292)</f>
        <v/>
      </c>
      <c r="Q292" s="18" t="n"/>
      <c r="R292" s="18" t="n"/>
      <c r="S292" s="18" t="n"/>
      <c r="T292" s="18" t="n"/>
      <c r="U292" s="18" t="n"/>
      <c r="V292" s="20">
        <f>IF(A292="","",HYPERLINK("https://calendar.google.com/calendar/render?action=TEMPLATE&amp;text="&amp;"Racksa%3A%20"&amp;SUBSTITUTE(SUBSTITUTE(SUBSTITUTE(LEFT(B292,45),"&amp;","y")," ","%20"),"#","")&amp;"%20-%20seguimiento"&amp;"&amp;dates="&amp;YEAR(IF(O292="",TODAY()+3,O292))&amp;RIGHT("0"&amp;MONTH(IF(O292="",TODAY()+3,O292)),2)&amp;RIGHT("0"&amp;DAY(IF(O292="",TODAY()+3,O292)),2)&amp;"/"&amp;YEAR(IF(O292="",TODAY()+4,O292+1))&amp;RIGHT("0"&amp;MONTH(IF(O292="",TODAY()+4,O292+1)),2)&amp;RIGHT("0"&amp;DAY(IF(O292="",TODAY()+4,O292+1)),2),"📅 Agendar"))</f>
        <v/>
      </c>
    </row>
    <row r="293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9" t="n"/>
      <c r="L293" s="19" t="n"/>
      <c r="M293" s="18" t="n"/>
      <c r="N293" s="18" t="n"/>
      <c r="O293" s="19" t="n"/>
      <c r="P293" s="18">
        <f>IF(L293="","",TODAY()-L293)</f>
        <v/>
      </c>
      <c r="Q293" s="18" t="n"/>
      <c r="R293" s="18" t="n"/>
      <c r="S293" s="18" t="n"/>
      <c r="T293" s="18" t="n"/>
      <c r="U293" s="18" t="n"/>
      <c r="V293" s="20">
        <f>IF(A293="","",HYPERLINK("https://calendar.google.com/calendar/render?action=TEMPLATE&amp;text="&amp;"Racksa%3A%20"&amp;SUBSTITUTE(SUBSTITUTE(SUBSTITUTE(LEFT(B293,45),"&amp;","y")," ","%20"),"#","")&amp;"%20-%20seguimiento"&amp;"&amp;dates="&amp;YEAR(IF(O293="",TODAY()+3,O293))&amp;RIGHT("0"&amp;MONTH(IF(O293="",TODAY()+3,O293)),2)&amp;RIGHT("0"&amp;DAY(IF(O293="",TODAY()+3,O293)),2)&amp;"/"&amp;YEAR(IF(O293="",TODAY()+4,O293+1))&amp;RIGHT("0"&amp;MONTH(IF(O293="",TODAY()+4,O293+1)),2)&amp;RIGHT("0"&amp;DAY(IF(O293="",TODAY()+4,O293+1)),2),"📅 Agendar"))</f>
        <v/>
      </c>
    </row>
    <row r="294">
      <c r="A294" s="18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9" t="n"/>
      <c r="L294" s="19" t="n"/>
      <c r="M294" s="18" t="n"/>
      <c r="N294" s="18" t="n"/>
      <c r="O294" s="19" t="n"/>
      <c r="P294" s="18">
        <f>IF(L294="","",TODAY()-L294)</f>
        <v/>
      </c>
      <c r="Q294" s="18" t="n"/>
      <c r="R294" s="18" t="n"/>
      <c r="S294" s="18" t="n"/>
      <c r="T294" s="18" t="n"/>
      <c r="U294" s="18" t="n"/>
      <c r="V294" s="20">
        <f>IF(A294="","",HYPERLINK("https://calendar.google.com/calendar/render?action=TEMPLATE&amp;text="&amp;"Racksa%3A%20"&amp;SUBSTITUTE(SUBSTITUTE(SUBSTITUTE(LEFT(B294,45),"&amp;","y")," ","%20"),"#","")&amp;"%20-%20seguimiento"&amp;"&amp;dates="&amp;YEAR(IF(O294="",TODAY()+3,O294))&amp;RIGHT("0"&amp;MONTH(IF(O294="",TODAY()+3,O294)),2)&amp;RIGHT("0"&amp;DAY(IF(O294="",TODAY()+3,O294)),2)&amp;"/"&amp;YEAR(IF(O294="",TODAY()+4,O294+1))&amp;RIGHT("0"&amp;MONTH(IF(O294="",TODAY()+4,O294+1)),2)&amp;RIGHT("0"&amp;DAY(IF(O294="",TODAY()+4,O294+1)),2),"📅 Agendar"))</f>
        <v/>
      </c>
    </row>
  </sheetData>
  <autoFilter ref="A1:V294"/>
  <conditionalFormatting sqref="A2:V294">
    <cfRule type="expression" priority="1" dxfId="0">
      <formula>$J2="Ganado"</formula>
    </cfRule>
    <cfRule type="expression" priority="2" dxfId="1">
      <formula>OR($J2="Perdido / sin respuesta",$J2="No aplica")</formula>
    </cfRule>
    <cfRule type="expression" priority="3" dxfId="2">
      <formula>AND($O2&lt;&gt;"",$O2&lt;TODAY())</formula>
    </cfRule>
    <cfRule type="expression" priority="4" dxfId="3">
      <formula>AND($O2&lt;&gt;"",$O2-TODAY()&lt;=3)</formula>
    </cfRule>
  </conditionalFormatting>
  <dataValidations count="2">
    <dataValidation sqref="J2:J294" showDropDown="0" showInputMessage="0" showErrorMessage="0" allowBlank="1" type="list">
      <formula1>=Listas!$A$1:$A$10</formula1>
    </dataValidation>
    <dataValidation sqref="I2:I294" showDropDown="0" showInputMessage="0" showErrorMessage="0" allowBlank="1" type="list">
      <formula1>=Listas!$B$1:$B$7</formula1>
    </dataValidation>
  </dataValidations>
  <hyperlinks>
    <hyperlink xmlns:r="http://schemas.openxmlformats.org/officeDocument/2006/relationships" ref="T2" r:id="rId1"/>
    <hyperlink xmlns:r="http://schemas.openxmlformats.org/officeDocument/2006/relationships" ref="U2" r:id="rId2"/>
    <hyperlink xmlns:r="http://schemas.openxmlformats.org/officeDocument/2006/relationships" ref="T3" r:id="rId3"/>
    <hyperlink xmlns:r="http://schemas.openxmlformats.org/officeDocument/2006/relationships" ref="U3" r:id="rId4"/>
    <hyperlink xmlns:r="http://schemas.openxmlformats.org/officeDocument/2006/relationships" ref="T4" r:id="rId5"/>
    <hyperlink xmlns:r="http://schemas.openxmlformats.org/officeDocument/2006/relationships" ref="U4" r:id="rId6"/>
    <hyperlink xmlns:r="http://schemas.openxmlformats.org/officeDocument/2006/relationships" ref="T5" r:id="rId7"/>
    <hyperlink xmlns:r="http://schemas.openxmlformats.org/officeDocument/2006/relationships" ref="U5" r:id="rId8"/>
    <hyperlink xmlns:r="http://schemas.openxmlformats.org/officeDocument/2006/relationships" ref="T6" r:id="rId9"/>
    <hyperlink xmlns:r="http://schemas.openxmlformats.org/officeDocument/2006/relationships" ref="U6" r:id="rId10"/>
    <hyperlink xmlns:r="http://schemas.openxmlformats.org/officeDocument/2006/relationships" ref="T7" r:id="rId11"/>
    <hyperlink xmlns:r="http://schemas.openxmlformats.org/officeDocument/2006/relationships" ref="U7" r:id="rId12"/>
    <hyperlink xmlns:r="http://schemas.openxmlformats.org/officeDocument/2006/relationships" ref="T8" r:id="rId13"/>
    <hyperlink xmlns:r="http://schemas.openxmlformats.org/officeDocument/2006/relationships" ref="U8" r:id="rId14"/>
    <hyperlink xmlns:r="http://schemas.openxmlformats.org/officeDocument/2006/relationships" ref="T9" r:id="rId15"/>
    <hyperlink xmlns:r="http://schemas.openxmlformats.org/officeDocument/2006/relationships" ref="U9" r:id="rId16"/>
    <hyperlink xmlns:r="http://schemas.openxmlformats.org/officeDocument/2006/relationships" ref="T10" r:id="rId17"/>
    <hyperlink xmlns:r="http://schemas.openxmlformats.org/officeDocument/2006/relationships" ref="U10" r:id="rId18"/>
    <hyperlink xmlns:r="http://schemas.openxmlformats.org/officeDocument/2006/relationships" ref="T11" r:id="rId19"/>
    <hyperlink xmlns:r="http://schemas.openxmlformats.org/officeDocument/2006/relationships" ref="U11" r:id="rId20"/>
    <hyperlink xmlns:r="http://schemas.openxmlformats.org/officeDocument/2006/relationships" ref="T12" r:id="rId21"/>
    <hyperlink xmlns:r="http://schemas.openxmlformats.org/officeDocument/2006/relationships" ref="U12" r:id="rId22"/>
    <hyperlink xmlns:r="http://schemas.openxmlformats.org/officeDocument/2006/relationships" ref="T13" r:id="rId23"/>
    <hyperlink xmlns:r="http://schemas.openxmlformats.org/officeDocument/2006/relationships" ref="U13" r:id="rId24"/>
    <hyperlink xmlns:r="http://schemas.openxmlformats.org/officeDocument/2006/relationships" ref="T14" r:id="rId25"/>
    <hyperlink xmlns:r="http://schemas.openxmlformats.org/officeDocument/2006/relationships" ref="U14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T16" r:id="rId29"/>
    <hyperlink xmlns:r="http://schemas.openxmlformats.org/officeDocument/2006/relationships" ref="U16" r:id="rId30"/>
    <hyperlink xmlns:r="http://schemas.openxmlformats.org/officeDocument/2006/relationships" ref="T17" r:id="rId31"/>
    <hyperlink xmlns:r="http://schemas.openxmlformats.org/officeDocument/2006/relationships" ref="U17" r:id="rId32"/>
    <hyperlink xmlns:r="http://schemas.openxmlformats.org/officeDocument/2006/relationships" ref="T18" r:id="rId33"/>
    <hyperlink xmlns:r="http://schemas.openxmlformats.org/officeDocument/2006/relationships" ref="U18" r:id="rId34"/>
    <hyperlink xmlns:r="http://schemas.openxmlformats.org/officeDocument/2006/relationships" ref="T19" r:id="rId35"/>
    <hyperlink xmlns:r="http://schemas.openxmlformats.org/officeDocument/2006/relationships" ref="U19" r:id="rId36"/>
    <hyperlink xmlns:r="http://schemas.openxmlformats.org/officeDocument/2006/relationships" ref="T20" r:id="rId37"/>
    <hyperlink xmlns:r="http://schemas.openxmlformats.org/officeDocument/2006/relationships" ref="U20" r:id="rId38"/>
    <hyperlink xmlns:r="http://schemas.openxmlformats.org/officeDocument/2006/relationships" ref="T21" r:id="rId39"/>
    <hyperlink xmlns:r="http://schemas.openxmlformats.org/officeDocument/2006/relationships" ref="U21" r:id="rId40"/>
    <hyperlink xmlns:r="http://schemas.openxmlformats.org/officeDocument/2006/relationships" ref="T22" r:id="rId41"/>
    <hyperlink xmlns:r="http://schemas.openxmlformats.org/officeDocument/2006/relationships" ref="U22" r:id="rId42"/>
    <hyperlink xmlns:r="http://schemas.openxmlformats.org/officeDocument/2006/relationships" ref="T23" r:id="rId43"/>
    <hyperlink xmlns:r="http://schemas.openxmlformats.org/officeDocument/2006/relationships" ref="U23" r:id="rId44"/>
    <hyperlink xmlns:r="http://schemas.openxmlformats.org/officeDocument/2006/relationships" ref="T24" r:id="rId45"/>
    <hyperlink xmlns:r="http://schemas.openxmlformats.org/officeDocument/2006/relationships" ref="U24" r:id="rId46"/>
    <hyperlink xmlns:r="http://schemas.openxmlformats.org/officeDocument/2006/relationships" ref="T25" r:id="rId47"/>
    <hyperlink xmlns:r="http://schemas.openxmlformats.org/officeDocument/2006/relationships" ref="U25" r:id="rId48"/>
    <hyperlink xmlns:r="http://schemas.openxmlformats.org/officeDocument/2006/relationships" ref="T26" r:id="rId49"/>
    <hyperlink xmlns:r="http://schemas.openxmlformats.org/officeDocument/2006/relationships" ref="U26" r:id="rId50"/>
    <hyperlink xmlns:r="http://schemas.openxmlformats.org/officeDocument/2006/relationships" ref="T27" r:id="rId51"/>
    <hyperlink xmlns:r="http://schemas.openxmlformats.org/officeDocument/2006/relationships" ref="U27" r:id="rId52"/>
    <hyperlink xmlns:r="http://schemas.openxmlformats.org/officeDocument/2006/relationships" ref="T28" r:id="rId53"/>
    <hyperlink xmlns:r="http://schemas.openxmlformats.org/officeDocument/2006/relationships" ref="U28" r:id="rId54"/>
    <hyperlink xmlns:r="http://schemas.openxmlformats.org/officeDocument/2006/relationships" ref="T29" r:id="rId55"/>
    <hyperlink xmlns:r="http://schemas.openxmlformats.org/officeDocument/2006/relationships" ref="U29" r:id="rId56"/>
    <hyperlink xmlns:r="http://schemas.openxmlformats.org/officeDocument/2006/relationships" ref="T30" r:id="rId57"/>
    <hyperlink xmlns:r="http://schemas.openxmlformats.org/officeDocument/2006/relationships" ref="U30" r:id="rId58"/>
    <hyperlink xmlns:r="http://schemas.openxmlformats.org/officeDocument/2006/relationships" ref="T31" r:id="rId59"/>
    <hyperlink xmlns:r="http://schemas.openxmlformats.org/officeDocument/2006/relationships" ref="U31" r:id="rId60"/>
    <hyperlink xmlns:r="http://schemas.openxmlformats.org/officeDocument/2006/relationships" ref="T32" r:id="rId61"/>
    <hyperlink xmlns:r="http://schemas.openxmlformats.org/officeDocument/2006/relationships" ref="U32" r:id="rId62"/>
    <hyperlink xmlns:r="http://schemas.openxmlformats.org/officeDocument/2006/relationships" ref="T33" r:id="rId63"/>
    <hyperlink xmlns:r="http://schemas.openxmlformats.org/officeDocument/2006/relationships" ref="U33" r:id="rId64"/>
    <hyperlink xmlns:r="http://schemas.openxmlformats.org/officeDocument/2006/relationships" ref="T34" r:id="rId65"/>
    <hyperlink xmlns:r="http://schemas.openxmlformats.org/officeDocument/2006/relationships" ref="U34" r:id="rId66"/>
    <hyperlink xmlns:r="http://schemas.openxmlformats.org/officeDocument/2006/relationships" ref="T35" r:id="rId67"/>
    <hyperlink xmlns:r="http://schemas.openxmlformats.org/officeDocument/2006/relationships" ref="U35" r:id="rId68"/>
    <hyperlink xmlns:r="http://schemas.openxmlformats.org/officeDocument/2006/relationships" ref="T36" r:id="rId69"/>
    <hyperlink xmlns:r="http://schemas.openxmlformats.org/officeDocument/2006/relationships" ref="U36" r:id="rId70"/>
    <hyperlink xmlns:r="http://schemas.openxmlformats.org/officeDocument/2006/relationships" ref="T37" r:id="rId71"/>
    <hyperlink xmlns:r="http://schemas.openxmlformats.org/officeDocument/2006/relationships" ref="U37" r:id="rId72"/>
    <hyperlink xmlns:r="http://schemas.openxmlformats.org/officeDocument/2006/relationships" ref="T38" r:id="rId73"/>
    <hyperlink xmlns:r="http://schemas.openxmlformats.org/officeDocument/2006/relationships" ref="U38" r:id="rId74"/>
    <hyperlink xmlns:r="http://schemas.openxmlformats.org/officeDocument/2006/relationships" ref="T39" r:id="rId75"/>
    <hyperlink xmlns:r="http://schemas.openxmlformats.org/officeDocument/2006/relationships" ref="U39" r:id="rId76"/>
    <hyperlink xmlns:r="http://schemas.openxmlformats.org/officeDocument/2006/relationships" ref="T40" r:id="rId77"/>
    <hyperlink xmlns:r="http://schemas.openxmlformats.org/officeDocument/2006/relationships" ref="U40" r:id="rId78"/>
    <hyperlink xmlns:r="http://schemas.openxmlformats.org/officeDocument/2006/relationships" ref="T41" r:id="rId79"/>
    <hyperlink xmlns:r="http://schemas.openxmlformats.org/officeDocument/2006/relationships" ref="U41" r:id="rId80"/>
    <hyperlink xmlns:r="http://schemas.openxmlformats.org/officeDocument/2006/relationships" ref="T42" r:id="rId81"/>
    <hyperlink xmlns:r="http://schemas.openxmlformats.org/officeDocument/2006/relationships" ref="U42" r:id="rId82"/>
    <hyperlink xmlns:r="http://schemas.openxmlformats.org/officeDocument/2006/relationships" ref="T43" r:id="rId83"/>
    <hyperlink xmlns:r="http://schemas.openxmlformats.org/officeDocument/2006/relationships" ref="U43" r:id="rId84"/>
    <hyperlink xmlns:r="http://schemas.openxmlformats.org/officeDocument/2006/relationships" ref="T44" r:id="rId85"/>
    <hyperlink xmlns:r="http://schemas.openxmlformats.org/officeDocument/2006/relationships" ref="U44" r:id="rId86"/>
    <hyperlink xmlns:r="http://schemas.openxmlformats.org/officeDocument/2006/relationships" ref="T45" r:id="rId87"/>
    <hyperlink xmlns:r="http://schemas.openxmlformats.org/officeDocument/2006/relationships" ref="U45" r:id="rId88"/>
    <hyperlink xmlns:r="http://schemas.openxmlformats.org/officeDocument/2006/relationships" ref="T46" r:id="rId89"/>
    <hyperlink xmlns:r="http://schemas.openxmlformats.org/officeDocument/2006/relationships" ref="U46" r:id="rId90"/>
    <hyperlink xmlns:r="http://schemas.openxmlformats.org/officeDocument/2006/relationships" ref="T47" r:id="rId91"/>
    <hyperlink xmlns:r="http://schemas.openxmlformats.org/officeDocument/2006/relationships" ref="U47" r:id="rId92"/>
    <hyperlink xmlns:r="http://schemas.openxmlformats.org/officeDocument/2006/relationships" ref="T48" r:id="rId93"/>
    <hyperlink xmlns:r="http://schemas.openxmlformats.org/officeDocument/2006/relationships" ref="U48" r:id="rId94"/>
    <hyperlink xmlns:r="http://schemas.openxmlformats.org/officeDocument/2006/relationships" ref="T49" r:id="rId95"/>
    <hyperlink xmlns:r="http://schemas.openxmlformats.org/officeDocument/2006/relationships" ref="U49" r:id="rId96"/>
    <hyperlink xmlns:r="http://schemas.openxmlformats.org/officeDocument/2006/relationships" ref="T50" r:id="rId97"/>
    <hyperlink xmlns:r="http://schemas.openxmlformats.org/officeDocument/2006/relationships" ref="U50" r:id="rId98"/>
    <hyperlink xmlns:r="http://schemas.openxmlformats.org/officeDocument/2006/relationships" ref="T51" r:id="rId99"/>
    <hyperlink xmlns:r="http://schemas.openxmlformats.org/officeDocument/2006/relationships" ref="U51" r:id="rId100"/>
    <hyperlink xmlns:r="http://schemas.openxmlformats.org/officeDocument/2006/relationships" ref="T52" r:id="rId101"/>
    <hyperlink xmlns:r="http://schemas.openxmlformats.org/officeDocument/2006/relationships" ref="U52" r:id="rId102"/>
    <hyperlink xmlns:r="http://schemas.openxmlformats.org/officeDocument/2006/relationships" ref="T53" r:id="rId103"/>
    <hyperlink xmlns:r="http://schemas.openxmlformats.org/officeDocument/2006/relationships" ref="U53" r:id="rId104"/>
    <hyperlink xmlns:r="http://schemas.openxmlformats.org/officeDocument/2006/relationships" ref="T54" r:id="rId105"/>
    <hyperlink xmlns:r="http://schemas.openxmlformats.org/officeDocument/2006/relationships" ref="U54" r:id="rId106"/>
    <hyperlink xmlns:r="http://schemas.openxmlformats.org/officeDocument/2006/relationships" ref="T55" r:id="rId107"/>
    <hyperlink xmlns:r="http://schemas.openxmlformats.org/officeDocument/2006/relationships" ref="U55" r:id="rId108"/>
    <hyperlink xmlns:r="http://schemas.openxmlformats.org/officeDocument/2006/relationships" ref="T56" r:id="rId109"/>
    <hyperlink xmlns:r="http://schemas.openxmlformats.org/officeDocument/2006/relationships" ref="U56" r:id="rId110"/>
    <hyperlink xmlns:r="http://schemas.openxmlformats.org/officeDocument/2006/relationships" ref="T57" r:id="rId111"/>
    <hyperlink xmlns:r="http://schemas.openxmlformats.org/officeDocument/2006/relationships" ref="U57" r:id="rId112"/>
    <hyperlink xmlns:r="http://schemas.openxmlformats.org/officeDocument/2006/relationships" ref="T58" r:id="rId113"/>
    <hyperlink xmlns:r="http://schemas.openxmlformats.org/officeDocument/2006/relationships" ref="U58" r:id="rId114"/>
    <hyperlink xmlns:r="http://schemas.openxmlformats.org/officeDocument/2006/relationships" ref="T59" r:id="rId115"/>
    <hyperlink xmlns:r="http://schemas.openxmlformats.org/officeDocument/2006/relationships" ref="U59" r:id="rId116"/>
    <hyperlink xmlns:r="http://schemas.openxmlformats.org/officeDocument/2006/relationships" ref="T60" r:id="rId117"/>
    <hyperlink xmlns:r="http://schemas.openxmlformats.org/officeDocument/2006/relationships" ref="U60" r:id="rId118"/>
    <hyperlink xmlns:r="http://schemas.openxmlformats.org/officeDocument/2006/relationships" ref="T61" r:id="rId119"/>
    <hyperlink xmlns:r="http://schemas.openxmlformats.org/officeDocument/2006/relationships" ref="U61" r:id="rId120"/>
    <hyperlink xmlns:r="http://schemas.openxmlformats.org/officeDocument/2006/relationships" ref="T62" r:id="rId121"/>
    <hyperlink xmlns:r="http://schemas.openxmlformats.org/officeDocument/2006/relationships" ref="U62" r:id="rId122"/>
    <hyperlink xmlns:r="http://schemas.openxmlformats.org/officeDocument/2006/relationships" ref="T63" r:id="rId123"/>
    <hyperlink xmlns:r="http://schemas.openxmlformats.org/officeDocument/2006/relationships" ref="U63" r:id="rId124"/>
    <hyperlink xmlns:r="http://schemas.openxmlformats.org/officeDocument/2006/relationships" ref="T64" r:id="rId125"/>
    <hyperlink xmlns:r="http://schemas.openxmlformats.org/officeDocument/2006/relationships" ref="U64" r:id="rId126"/>
    <hyperlink xmlns:r="http://schemas.openxmlformats.org/officeDocument/2006/relationships" ref="T65" r:id="rId127"/>
    <hyperlink xmlns:r="http://schemas.openxmlformats.org/officeDocument/2006/relationships" ref="U65" r:id="rId128"/>
    <hyperlink xmlns:r="http://schemas.openxmlformats.org/officeDocument/2006/relationships" ref="T66" r:id="rId129"/>
    <hyperlink xmlns:r="http://schemas.openxmlformats.org/officeDocument/2006/relationships" ref="U66" r:id="rId130"/>
    <hyperlink xmlns:r="http://schemas.openxmlformats.org/officeDocument/2006/relationships" ref="T67" r:id="rId131"/>
    <hyperlink xmlns:r="http://schemas.openxmlformats.org/officeDocument/2006/relationships" ref="U67" r:id="rId132"/>
    <hyperlink xmlns:r="http://schemas.openxmlformats.org/officeDocument/2006/relationships" ref="T68" r:id="rId133"/>
    <hyperlink xmlns:r="http://schemas.openxmlformats.org/officeDocument/2006/relationships" ref="U68" r:id="rId134"/>
    <hyperlink xmlns:r="http://schemas.openxmlformats.org/officeDocument/2006/relationships" ref="T69" r:id="rId135"/>
    <hyperlink xmlns:r="http://schemas.openxmlformats.org/officeDocument/2006/relationships" ref="U69" r:id="rId136"/>
    <hyperlink xmlns:r="http://schemas.openxmlformats.org/officeDocument/2006/relationships" ref="T70" r:id="rId137"/>
    <hyperlink xmlns:r="http://schemas.openxmlformats.org/officeDocument/2006/relationships" ref="U70" r:id="rId138"/>
    <hyperlink xmlns:r="http://schemas.openxmlformats.org/officeDocument/2006/relationships" ref="T71" r:id="rId139"/>
    <hyperlink xmlns:r="http://schemas.openxmlformats.org/officeDocument/2006/relationships" ref="U71" r:id="rId140"/>
    <hyperlink xmlns:r="http://schemas.openxmlformats.org/officeDocument/2006/relationships" ref="T72" r:id="rId141"/>
    <hyperlink xmlns:r="http://schemas.openxmlformats.org/officeDocument/2006/relationships" ref="U72" r:id="rId142"/>
    <hyperlink xmlns:r="http://schemas.openxmlformats.org/officeDocument/2006/relationships" ref="T73" r:id="rId143"/>
    <hyperlink xmlns:r="http://schemas.openxmlformats.org/officeDocument/2006/relationships" ref="U73" r:id="rId144"/>
    <hyperlink xmlns:r="http://schemas.openxmlformats.org/officeDocument/2006/relationships" ref="T74" r:id="rId145"/>
    <hyperlink xmlns:r="http://schemas.openxmlformats.org/officeDocument/2006/relationships" ref="U74" r:id="rId146"/>
    <hyperlink xmlns:r="http://schemas.openxmlformats.org/officeDocument/2006/relationships" ref="T75" r:id="rId147"/>
    <hyperlink xmlns:r="http://schemas.openxmlformats.org/officeDocument/2006/relationships" ref="U75" r:id="rId148"/>
    <hyperlink xmlns:r="http://schemas.openxmlformats.org/officeDocument/2006/relationships" ref="T76" r:id="rId149"/>
    <hyperlink xmlns:r="http://schemas.openxmlformats.org/officeDocument/2006/relationships" ref="U76" r:id="rId150"/>
    <hyperlink xmlns:r="http://schemas.openxmlformats.org/officeDocument/2006/relationships" ref="T77" r:id="rId151"/>
    <hyperlink xmlns:r="http://schemas.openxmlformats.org/officeDocument/2006/relationships" ref="U77" r:id="rId152"/>
    <hyperlink xmlns:r="http://schemas.openxmlformats.org/officeDocument/2006/relationships" ref="T78" r:id="rId153"/>
    <hyperlink xmlns:r="http://schemas.openxmlformats.org/officeDocument/2006/relationships" ref="U78" r:id="rId154"/>
    <hyperlink xmlns:r="http://schemas.openxmlformats.org/officeDocument/2006/relationships" ref="T79" r:id="rId155"/>
    <hyperlink xmlns:r="http://schemas.openxmlformats.org/officeDocument/2006/relationships" ref="U79" r:id="rId156"/>
    <hyperlink xmlns:r="http://schemas.openxmlformats.org/officeDocument/2006/relationships" ref="T80" r:id="rId157"/>
    <hyperlink xmlns:r="http://schemas.openxmlformats.org/officeDocument/2006/relationships" ref="U80" r:id="rId158"/>
    <hyperlink xmlns:r="http://schemas.openxmlformats.org/officeDocument/2006/relationships" ref="T81" r:id="rId159"/>
    <hyperlink xmlns:r="http://schemas.openxmlformats.org/officeDocument/2006/relationships" ref="U81" r:id="rId160"/>
    <hyperlink xmlns:r="http://schemas.openxmlformats.org/officeDocument/2006/relationships" ref="T82" r:id="rId161"/>
    <hyperlink xmlns:r="http://schemas.openxmlformats.org/officeDocument/2006/relationships" ref="U82" r:id="rId162"/>
    <hyperlink xmlns:r="http://schemas.openxmlformats.org/officeDocument/2006/relationships" ref="T83" r:id="rId163"/>
    <hyperlink xmlns:r="http://schemas.openxmlformats.org/officeDocument/2006/relationships" ref="U83" r:id="rId164"/>
    <hyperlink xmlns:r="http://schemas.openxmlformats.org/officeDocument/2006/relationships" ref="T84" r:id="rId165"/>
    <hyperlink xmlns:r="http://schemas.openxmlformats.org/officeDocument/2006/relationships" ref="U84" r:id="rId166"/>
    <hyperlink xmlns:r="http://schemas.openxmlformats.org/officeDocument/2006/relationships" ref="T85" r:id="rId167"/>
    <hyperlink xmlns:r="http://schemas.openxmlformats.org/officeDocument/2006/relationships" ref="U85" r:id="rId168"/>
    <hyperlink xmlns:r="http://schemas.openxmlformats.org/officeDocument/2006/relationships" ref="T86" r:id="rId169"/>
    <hyperlink xmlns:r="http://schemas.openxmlformats.org/officeDocument/2006/relationships" ref="U86" r:id="rId170"/>
    <hyperlink xmlns:r="http://schemas.openxmlformats.org/officeDocument/2006/relationships" ref="T87" r:id="rId171"/>
    <hyperlink xmlns:r="http://schemas.openxmlformats.org/officeDocument/2006/relationships" ref="U87" r:id="rId172"/>
    <hyperlink xmlns:r="http://schemas.openxmlformats.org/officeDocument/2006/relationships" ref="T88" r:id="rId173"/>
    <hyperlink xmlns:r="http://schemas.openxmlformats.org/officeDocument/2006/relationships" ref="U88" r:id="rId174"/>
    <hyperlink xmlns:r="http://schemas.openxmlformats.org/officeDocument/2006/relationships" ref="T89" r:id="rId175"/>
    <hyperlink xmlns:r="http://schemas.openxmlformats.org/officeDocument/2006/relationships" ref="U89" r:id="rId176"/>
    <hyperlink xmlns:r="http://schemas.openxmlformats.org/officeDocument/2006/relationships" ref="T90" r:id="rId177"/>
    <hyperlink xmlns:r="http://schemas.openxmlformats.org/officeDocument/2006/relationships" ref="U90" r:id="rId178"/>
    <hyperlink xmlns:r="http://schemas.openxmlformats.org/officeDocument/2006/relationships" ref="T91" r:id="rId179"/>
    <hyperlink xmlns:r="http://schemas.openxmlformats.org/officeDocument/2006/relationships" ref="U91" r:id="rId180"/>
    <hyperlink xmlns:r="http://schemas.openxmlformats.org/officeDocument/2006/relationships" ref="T92" r:id="rId181"/>
    <hyperlink xmlns:r="http://schemas.openxmlformats.org/officeDocument/2006/relationships" ref="U92" r:id="rId182"/>
    <hyperlink xmlns:r="http://schemas.openxmlformats.org/officeDocument/2006/relationships" ref="T93" r:id="rId183"/>
    <hyperlink xmlns:r="http://schemas.openxmlformats.org/officeDocument/2006/relationships" ref="U93" r:id="rId184"/>
    <hyperlink xmlns:r="http://schemas.openxmlformats.org/officeDocument/2006/relationships" ref="T94" r:id="rId185"/>
    <hyperlink xmlns:r="http://schemas.openxmlformats.org/officeDocument/2006/relationships" ref="U94" r:id="rId18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 contactar</t>
        </is>
      </c>
      <c r="B1" t="inlineStr">
        <is>
          <t>LinkedIn</t>
        </is>
      </c>
    </row>
    <row r="2">
      <c r="A2" t="inlineStr">
        <is>
          <t>Contactado</t>
        </is>
      </c>
      <c r="B2" t="inlineStr">
        <is>
          <t>WhatsApp</t>
        </is>
      </c>
    </row>
    <row r="3">
      <c r="A3" t="inlineStr">
        <is>
          <t>Respondió / interesado</t>
        </is>
      </c>
      <c r="B3" t="inlineStr">
        <is>
          <t>Correo</t>
        </is>
      </c>
    </row>
    <row r="4">
      <c r="A4" t="inlineStr">
        <is>
          <t>Visita agendada</t>
        </is>
      </c>
      <c r="B4" t="inlineStr">
        <is>
          <t>Llamada</t>
        </is>
      </c>
    </row>
    <row r="5">
      <c r="A5" t="inlineStr">
        <is>
          <t>Levantamiento en bodega</t>
        </is>
      </c>
      <c r="B5" t="inlineStr">
        <is>
          <t>Visita</t>
        </is>
      </c>
    </row>
    <row r="6">
      <c r="A6" t="inlineStr">
        <is>
          <t>Proforma enviada</t>
        </is>
      </c>
      <c r="B6" t="inlineStr">
        <is>
          <t>Referido</t>
        </is>
      </c>
    </row>
    <row r="7">
      <c r="A7" t="inlineStr">
        <is>
          <t>Negociación</t>
        </is>
      </c>
      <c r="B7" t="inlineStr">
        <is>
          <t>Feria</t>
        </is>
      </c>
    </row>
    <row r="8">
      <c r="A8" t="inlineStr">
        <is>
          <t>Ganado</t>
        </is>
      </c>
    </row>
    <row r="9">
      <c r="A9" t="inlineStr">
        <is>
          <t>Perdido / sin respuesta</t>
        </is>
      </c>
    </row>
    <row r="10">
      <c r="A10" t="inlineStr">
        <is>
          <t>No aplica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40" customWidth="1" min="3" max="3"/>
    <col width="90" customWidth="1" min="4" max="4"/>
    <col width="70" customWidth="1" min="5" max="5"/>
    <col width="60" customWidth="1" min="6" max="6"/>
  </cols>
  <sheetData>
    <row r="1" ht="32" customHeight="1">
      <c r="A1" s="10" t="inlineStr">
        <is>
          <t>Grupo de mensaje</t>
        </is>
      </c>
      <c r="B1" s="10" t="inlineStr">
        <is>
          <t>Canal</t>
        </is>
      </c>
      <c r="C1" s="10" t="inlineStr">
        <is>
          <t>Asunto (correo)</t>
        </is>
      </c>
      <c r="D1" s="10" t="inlineStr">
        <is>
          <t>Mensaje (reemplaza [Nombre], [Empresa], [Ciudad])</t>
        </is>
      </c>
      <c r="E1" s="10" t="inlineStr">
        <is>
          <t>Seguimiento 1 (a los 3 días hábiles)</t>
        </is>
      </c>
      <c r="F1" s="10" t="inlineStr">
        <is>
          <t>Último seguimiento (a los 7 días hábiles)</t>
        </is>
      </c>
    </row>
    <row r="2" ht="150" customHeight="1">
      <c r="A2" s="21" t="inlineStr">
        <is>
          <t>Retail y supermercados</t>
        </is>
      </c>
      <c r="B2" s="11" t="inlineStr">
        <is>
          <t>LinkedIn</t>
        </is>
      </c>
      <c r="C2" s="11" t="inlineStr">
        <is>
          <t>—</t>
        </is>
      </c>
      <c r="D2" s="11" t="inlineStr">
        <is>
          <t>Hola [Nombre], soy Hansell Moreira de Racksa Ecuador. Diseñamos e instalamos racks y perchas para bodegas en todo el país. Me gustaría conectar y compartirle ideas para el centro de distribución y las bodegas de tiendas.</t>
        </is>
      </c>
      <c r="E2" s="11" t="inlineStr">
        <is>
          <t>Gracias por conectar, [Nombre]. En Racksa Ecuador ayudamos a ordenar el CD por pallets y el picking por unidades: rack selectivo con acceso 100% directo a cada pallet y perchas de picking de 500 kg por nivel. Contamos con el stock para entrega inmediata y trabajamos a nivel nacional. ¿Le parece si coordinamos una visita sin costo a su bodega en [Ciudad] para proponerle una distribución?
Hansell Moreira · Racksa Ecuador
📱 Mi contacto directo: 099 399 9091
📞 099 182 0185
📞 093 995 7939
📩 proyectos@racksaecuador.com.ec
🌐 https://www.racksaecuador.com.ec</t>
        </is>
      </c>
      <c r="F2" s="11" t="inlineStr">
        <is>
          <t>—</t>
        </is>
      </c>
    </row>
    <row r="3" ht="270" customHeight="1">
      <c r="A3" s="21" t="inlineStr">
        <is>
          <t>Retail y supermercados</t>
        </is>
      </c>
      <c r="B3" s="11" t="inlineStr">
        <is>
          <t>WhatsApp</t>
        </is>
      </c>
      <c r="C3" s="11" t="inlineStr">
        <is>
          <t>—</t>
        </is>
      </c>
      <c r="D3" s="11" t="inlineStr">
        <is>
          <t>Buenos días, [Nombre]. Le saluda Hansell Moreira de *Racksa Ecuador*.
Trabajamos con empresas de todo el país para ordenar el CD por pallets y el picking por unidades.
✅ Rack selectivo con acceso 100% directo a cada pallet y perchas de picking de 500 kg por nivel
✅ Contamos con el stock para entrega inmediata
✅ Trabajamos a nivel nacional, también en [Ciudad]
💡 ¿Podemos agendar una visita para revisar el centro de distribución y las bodegas de tiendas de [Empresa]? La propuesta de distribución no tiene costo.
Hansell Moreira · Racksa Ecuador
📱 *Mi contacto directo: 099 399 9091*
📞 099 182 0185
📞 093 995 7939
📩 proyectos@racksaecuador.com.ec
🌐 https://www.racksaecuador.com.ec</t>
        </is>
      </c>
      <c r="E3" s="11" t="inlineStr">
        <is>
          <t>Hola [Nombre], le escribo para dar seguimiento a mi mensaje sobre los racks y perchas para su bodega. Si me comparte las medidas aproximadas (largo, ancho y alto) le envío una propuesta de distribución. ¡Gracias!
Racksa Ecuador · 099 182 0185</t>
        </is>
      </c>
      <c r="F3" s="11" t="inlineStr">
        <is>
          <t>—</t>
        </is>
      </c>
    </row>
    <row r="4" ht="330" customHeight="1">
      <c r="A4" s="21" t="inlineStr">
        <is>
          <t>Retail y supermercados</t>
        </is>
      </c>
      <c r="B4" s="11" t="inlineStr">
        <is>
          <t>Correo</t>
        </is>
      </c>
      <c r="C4" s="11" t="inlineStr">
        <is>
          <t>Propuesta de racks y perchas para [Empresa] · Racksa Ecuador</t>
        </is>
      </c>
      <c r="D4" s="11" t="inlineStr">
        <is>
          <t>Estimado/a [Nombre]:
Le saluda Hansell Moreira, de Racksa Ecuador, empresa de ingeniería intralogística que diseña e instala racks, perchas y mezzanines para bodegas a nivel nacional.
Le escribo porque podemos ayudar a [Empresa] a ordenar el CD por pallets y el picking por unidades. Algunos datos de nuestro sistema:
• Rack selectivo con acceso 100% directo a cada pallet y perchas de picking de 500 kg por nivel.
• Acero Q235B (equivalente ASTM A36) con pintura electrostática epoxi en polvo.
• Diseño basado en ANSI/RMI MH16.1, AISI S100 y NEC-SE (incluye sismo).
• Contamos con el stock para entrega inmediata.
Le propongo una visita técnica sin costo a el centro de distribución y las bodegas de tiendas de [Empresa] en [Ciudad] para levantar medidas y enviarle una distribución con su proforma.
¿Qué día de esta o la próxima semana le acomoda?
Atentamente,
Hansell Moreira
Racksa Ecuador · Ingeniería Intralogística
📱 MI CONTACTO DIRECTO: 099 399 9091
Oficina: 099 182 0185 · 093 995 7939
proyectos@racksaecuador.com.ec
https://www.racksaecuador.com.ec</t>
        </is>
      </c>
      <c r="E4" s="11" t="inlineStr">
        <is>
          <t>Estimado/a [Nombre]:
Le escribo para dar seguimiento a mi correo anterior. Si le resulta más fácil, puede enviarme un plano o las medidas de la bodega y el tipo de carga (pallets, cajas o sacos) y le preparo una propuesta de distribución sin compromiso.
Atentamente,
Hansell Moreira
Racksa Ecuador · Ingeniería Intralogística
📱 MI CONTACTO DIRECTO: 099 399 9091
Oficina: 099 182 0185 · 093 995 7939
proyectos@racksaecuador.com.ec
https://www.racksaecuador.com.ec</t>
        </is>
      </c>
      <c r="F4" s="11" t="inlineStr">
        <is>
          <t>Estimado/a [Nombre]:
Le escribo por última vez para no llenar su bandeja. Si en algún momento [Empresa] necesita ordenar o ampliar su bodega, con gusto le visitamos en [Ciudad] sin costo. Basta con responder este correo o llamarnos.
Atentamente,
Hansell Moreira
Racksa Ecuador · Ingeniería Intralogística
📱 MI CONTACTO DIRECTO: 099 399 9091
Oficina: 099 182 0185 · 093 995 7939
proyectos@racksaecuador.com.ec
https://www.racksaecuador.com.ec</t>
        </is>
      </c>
    </row>
    <row r="5" ht="150" customHeight="1">
      <c r="A5" s="21" t="inlineStr">
        <is>
          <t>Farmacéutica</t>
        </is>
      </c>
      <c r="B5" s="11" t="inlineStr">
        <is>
          <t>LinkedIn</t>
        </is>
      </c>
      <c r="C5" s="11" t="inlineStr">
        <is>
          <t>—</t>
        </is>
      </c>
      <c r="D5" s="11" t="inlineStr">
        <is>
          <t>Hola [Nombre], soy Hansell Moreira de Racksa Ecuador. Diseñamos e instalamos racks y perchas para bodegas en todo el país. Me gustaría conectar y compartirle ideas para la bodega y el centro de distribución.</t>
        </is>
      </c>
      <c r="E5" s="11" t="inlineStr">
        <is>
          <t>Gracias por conectar, [Nombre]. En Racksa Ecuador ayudamos a un picking más rápido y ordenado por lote y referencia: perchas de picking de 500 kg por nivel y rack selectivo con acceso 100% directo a cada pallet. Contamos con el stock para entrega inmediata y trabajamos a nivel nacional. ¿Le parece si coordinamos una visita sin costo a su bodega en [Ciudad] para proponerle una distribución?
Hansell Moreira · Racksa Ecuador
📱 Mi contacto directo: 099 399 9091
📞 099 182 0185
📞 093 995 7939
📩 proyectos@racksaecuador.com.ec
🌐 https://www.racksaecuador.com.ec</t>
        </is>
      </c>
      <c r="F5" s="11" t="inlineStr">
        <is>
          <t>—</t>
        </is>
      </c>
    </row>
    <row r="6" ht="270" customHeight="1">
      <c r="A6" s="21" t="inlineStr">
        <is>
          <t>Farmacéutica</t>
        </is>
      </c>
      <c r="B6" s="11" t="inlineStr">
        <is>
          <t>WhatsApp</t>
        </is>
      </c>
      <c r="C6" s="11" t="inlineStr">
        <is>
          <t>—</t>
        </is>
      </c>
      <c r="D6" s="11" t="inlineStr">
        <is>
          <t>Buenos días, [Nombre]. Le saluda Hansell Moreira de *Racksa Ecuador*.
Trabajamos con empresas de todo el país para un picking más rápido y ordenado por lote y referencia.
✅ Perchas de picking de 500 kg por nivel y rack selectivo con acceso 100% directo a cada pallet
✅ Contamos con el stock para entrega inmediata
✅ Trabajamos a nivel nacional, también en [Ciudad]
💡 ¿Podemos agendar una visita para revisar la bodega y el centro de distribución de [Empresa]? La propuesta de distribución no tiene costo.
Hansell Moreira · Racksa Ecuador
📱 *Mi contacto directo: 099 399 9091*
📞 099 182 0185
📞 093 995 7939
📩 proyectos@racksaecuador.com.ec
🌐 https://www.racksaecuador.com.ec</t>
        </is>
      </c>
      <c r="E6" s="11" t="inlineStr">
        <is>
          <t>Hola [Nombre], le escribo para dar seguimiento a mi mensaje sobre los racks y perchas para su bodega. Si me comparte las medidas aproximadas (largo, ancho y alto) le envío una propuesta de distribución. ¡Gracias!
Racksa Ecuador · 099 182 0185</t>
        </is>
      </c>
      <c r="F6" s="11" t="inlineStr">
        <is>
          <t>—</t>
        </is>
      </c>
    </row>
    <row r="7" ht="330" customHeight="1">
      <c r="A7" s="21" t="inlineStr">
        <is>
          <t>Farmacéutica</t>
        </is>
      </c>
      <c r="B7" s="11" t="inlineStr">
        <is>
          <t>Correo</t>
        </is>
      </c>
      <c r="C7" s="11" t="inlineStr">
        <is>
          <t>Propuesta de racks y perchas para [Empresa] · Racksa Ecuador</t>
        </is>
      </c>
      <c r="D7" s="11" t="inlineStr">
        <is>
          <t>Estimado/a [Nombre]:
Le saluda Hansell Moreira, de Racksa Ecuador, empresa de ingeniería intralogística que diseña e instala racks, perchas y mezzanines para bodegas a nivel nacional.
Le escribo porque podemos ayudar a [Empresa] a un picking más rápido y ordenado por lote y referencia. Algunos datos de nuestro sistema:
• Perchas de picking de 500 kg por nivel y rack selectivo con acceso 100% directo a cada pallet.
• Acero Q235B (equivalente ASTM A36) con pintura electrostática epoxi en polvo.
• Diseño basado en ANSI/RMI MH16.1, AISI S100 y NEC-SE (incluye sismo).
• Contamos con el stock para entrega inmediata.
Le propongo una visita técnica sin costo a la bodega y el centro de distribución de [Empresa] en [Ciudad] para levantar medidas y enviarle una distribución con su proforma.
¿Qué día de esta o la próxima semana le acomoda?
Atentamente,
Hansell Moreira
Racksa Ecuador · Ingeniería Intralogística
📱 MI CONTACTO DIRECTO: 099 399 9091
Oficina: 099 182 0185 · 093 995 7939
proyectos@racksaecuador.com.ec
https://www.racksaecuador.com.ec</t>
        </is>
      </c>
      <c r="E7" s="11" t="inlineStr">
        <is>
          <t>Estimado/a [Nombre]:
Le escribo para dar seguimiento a mi correo anterior. Si le resulta más fácil, puede enviarme un plano o las medidas de la bodega y el tipo de carga (pallets, cajas o sacos) y le preparo una propuesta de distribución sin compromiso.
Atentamente,
Hansell Moreira
Racksa Ecuador · Ingeniería Intralogística
📱 MI CONTACTO DIRECTO: 099 399 9091
Oficina: 099 182 0185 · 093 995 7939
proyectos@racksaecuador.com.ec
https://www.racksaecuador.com.ec</t>
        </is>
      </c>
      <c r="F7" s="11" t="inlineStr">
        <is>
          <t>Estimado/a [Nombre]:
Le escribo por última vez para no llenar su bandeja. Si en algún momento [Empresa] necesita ordenar o ampliar su bodega, con gusto le visitamos en [Ciudad] sin costo. Basta con responder este correo o llamarnos.
Atentamente,
Hansell Moreira
Racksa Ecuador · Ingeniería Intralogística
📱 MI CONTACTO DIRECTO: 099 399 9091
Oficina: 099 182 0185 · 093 995 7939
proyectos@racksaecuador.com.ec
https://www.racksaecuador.com.ec</t>
        </is>
      </c>
    </row>
    <row r="8" ht="150" customHeight="1">
      <c r="A8" s="21" t="inlineStr">
        <is>
          <t>Ferretería, acero y construcción</t>
        </is>
      </c>
      <c r="B8" s="11" t="inlineStr">
        <is>
          <t>LinkedIn</t>
        </is>
      </c>
      <c r="C8" s="11" t="inlineStr">
        <is>
          <t>—</t>
        </is>
      </c>
      <c r="D8" s="11" t="inlineStr">
        <is>
          <t>Hola [Nombre], soy Hansell Moreira de Racksa Ecuador. Diseñamos e instalamos racks y perchas para bodegas en todo el país. Me gustaría conectar y compartirle ideas para las bodegas.</t>
        </is>
      </c>
      <c r="E8" s="11" t="inlineStr">
        <is>
          <t>Gracias por conectar, [Nombre]. En Racksa Ecuador ayudamos a aprovechar la altura y tener cada producto a la mano: rack selectivo para 2.000 kg por nivel (2 pallets de 1.000 kg), acero Q235B y pintura electrostática epoxi. Contamos con el stock para entrega inmediata y trabajamos a nivel nacional. ¿Le parece si coordinamos una visita sin costo a su bodega en [Ciudad] para proponerle una distribución?
Hansell Moreira · Racksa Ecuador
📱 Mi contacto directo: 099 399 9091
📞 099 182 0185
📞 093 995 7939
📩 proyectos@racksaecuador.com.ec
🌐 https://www.racksaecuador.com.ec</t>
        </is>
      </c>
      <c r="F8" s="11" t="inlineStr">
        <is>
          <t>—</t>
        </is>
      </c>
    </row>
    <row r="9" ht="270" customHeight="1">
      <c r="A9" s="21" t="inlineStr">
        <is>
          <t>Ferretería, acero y construcción</t>
        </is>
      </c>
      <c r="B9" s="11" t="inlineStr">
        <is>
          <t>WhatsApp</t>
        </is>
      </c>
      <c r="C9" s="11" t="inlineStr">
        <is>
          <t>—</t>
        </is>
      </c>
      <c r="D9" s="11" t="inlineStr">
        <is>
          <t>Buenos días, [Nombre]. Le saluda Hansell Moreira de *Racksa Ecuador*.
Trabajamos con empresas de todo el país para aprovechar la altura y tener cada producto a la mano.
✅ Rack selectivo para 2.000 kg por nivel (2 pallets de 1.000 kg), acero Q235B y pintura electrostática epoxi
✅ Contamos con el stock para entrega inmediata
✅ Trabajamos a nivel nacional, también en [Ciudad]
💡 ¿Podemos agendar una visita para revisar las bodegas de [Empresa]? La propuesta de distribución no tiene costo.
Hansell Moreira · Racksa Ecuador
📱 *Mi contacto directo: 099 399 9091*
📞 099 182 0185
📞 093 995 7939
📩 proyectos@racksaecuador.com.ec
🌐 https://www.racksaecuador.com.ec</t>
        </is>
      </c>
      <c r="E9" s="11" t="inlineStr">
        <is>
          <t>Hola [Nombre], le escribo para dar seguimiento a mi mensaje sobre los racks y perchas para su bodega. Si me comparte las medidas aproximadas (largo, ancho y alto) le envío una propuesta de distribución. ¡Gracias!
Racksa Ecuador · 099 182 0185</t>
        </is>
      </c>
      <c r="F9" s="11" t="inlineStr">
        <is>
          <t>—</t>
        </is>
      </c>
    </row>
    <row r="10" ht="330" customHeight="1">
      <c r="A10" s="21" t="inlineStr">
        <is>
          <t>Ferretería, acero y construcción</t>
        </is>
      </c>
      <c r="B10" s="11" t="inlineStr">
        <is>
          <t>Correo</t>
        </is>
      </c>
      <c r="C10" s="11" t="inlineStr">
        <is>
          <t>Propuesta de racks y perchas para [Empresa] · Racksa Ecuador</t>
        </is>
      </c>
      <c r="D10" s="11" t="inlineStr">
        <is>
          <t>Estimado/a [Nombre]:
Le saluda Hansell Moreira, de Racksa Ecuador, empresa de ingeniería intralogística que diseña e instala racks, perchas y mezzanines para bodegas a nivel nacional.
Le escribo porque podemos ayudar a [Empresa] a aprovechar la altura y tener cada producto a la mano. Algunos datos de nuestro sistema:
• Rack selectivo para 2.000 kg por nivel (2 pallets de 1.000 kg), acero Q235B y pintura electrostática epoxi.
• Acero Q235B (equivalente ASTM A36) con pintura electrostática epoxi en polvo.
• Diseño basado en ANSI/RMI MH16.1, AISI S100 y NEC-SE (incluye sismo).
• Contamos con el stock para entrega inmediata.
Le propongo una visita técnica sin costo a las bodegas de [Empresa] en [Ciudad] para levantar medidas y enviarle una distribución con su proforma.
¿Qué día de esta o la próxima semana le acomoda?
Atentamente,
Hansell Moreira
Racksa Ecuador · Ingeniería Intralogística
📱 MI CONTACTO DIRECTO: 099 399 9091
Oficina: 099 182 0185 · 093 995 7939
proyectos@racksaecuador.com.ec
https://www.racksaecuador.com.ec</t>
        </is>
      </c>
      <c r="E10" s="11" t="inlineStr">
        <is>
          <t>Estimado/a [Nombre]:
Le escribo para dar seguimiento a mi correo anterior. Si le resulta más fácil, puede enviarme un plano o las medidas de la bodega y el tipo de carga (pallets, cajas o sacos) y le preparo una propuesta de distribución sin compromiso.
Atentamente,
Hansell Moreira
Racksa Ecuador · Ingeniería Intralogística
📱 MI CONTACTO DIRECTO: 099 399 9091
Oficina: 099 182 0185 · 093 995 7939
proyectos@racksaecuador.com.ec
https://www.racksaecuador.com.ec</t>
        </is>
      </c>
      <c r="F10" s="11" t="inlineStr">
        <is>
          <t>Estimado/a [Nombre]:
Le escribo por última vez para no llenar su bandeja. Si en algún momento [Empresa] necesita ordenar o ampliar su bodega, con gusto le visitamos en [Ciudad] sin costo. Basta con responder este correo o llamarnos.
Atentamente,
Hansell Moreira
Racksa Ecuador · Ingeniería Intralogística
📱 MI CONTACTO DIRECTO: 099 399 9091
Oficina: 099 182 0185 · 093 995 7939
proyectos@racksaecuador.com.ec
https://www.racksaecuador.com.ec</t>
        </is>
      </c>
    </row>
    <row r="11" ht="150" customHeight="1">
      <c r="A11" s="21" t="inlineStr">
        <is>
          <t>Agroindustria y acuacultura</t>
        </is>
      </c>
      <c r="B11" s="11" t="inlineStr">
        <is>
          <t>LinkedIn</t>
        </is>
      </c>
      <c r="C11" s="11" t="inlineStr">
        <is>
          <t>—</t>
        </is>
      </c>
      <c r="D11" s="11" t="inlineStr">
        <is>
          <t>Hola [Nombre], soy Hansell Moreira de Racksa Ecuador. Diseñamos e instalamos racks y perchas para bodegas en todo el país. Me gustaría conectar y compartirle ideas para las bodegas de insumos, empaque y producto.</t>
        </is>
      </c>
      <c r="E11" s="11" t="inlineStr">
        <is>
          <t>Gracias por conectar, [Nombre]. En Racksa Ecuador ayudamos a subir a lo alto en vez de apilar sacos y cajas en el piso: rack selectivo para 2.000 kg por nivel, acero Q235B con pintura electrostática epoxi resistente a la corrosión. Contamos con el stock para entrega inmediata y trabajamos a nivel nacional. ¿Le parece si coordinamos una visita sin costo a su bodega en [Ciudad] para proponerle una distribución?
Hansell Moreira · Racksa Ecuador
📱 Mi contacto directo: 099 399 9091
📞 099 182 0185
📞 093 995 7939
📩 proyectos@racksaecuador.com.ec
🌐 https://www.racksaecuador.com.ec</t>
        </is>
      </c>
      <c r="F11" s="11" t="inlineStr">
        <is>
          <t>—</t>
        </is>
      </c>
    </row>
    <row r="12" ht="270" customHeight="1">
      <c r="A12" s="21" t="inlineStr">
        <is>
          <t>Agroindustria y acuacultura</t>
        </is>
      </c>
      <c r="B12" s="11" t="inlineStr">
        <is>
          <t>WhatsApp</t>
        </is>
      </c>
      <c r="C12" s="11" t="inlineStr">
        <is>
          <t>—</t>
        </is>
      </c>
      <c r="D12" s="11" t="inlineStr">
        <is>
          <t>Buenos días, [Nombre]. Le saluda Hansell Moreira de *Racksa Ecuador*.
Trabajamos con empresas de todo el país para subir a lo alto en vez de apilar sacos y cajas en el piso.
✅ Rack selectivo para 2.000 kg por nivel, acero Q235B con pintura electrostática epoxi resistente a la corrosión
✅ Contamos con el stock para entrega inmediata
✅ Trabajamos a nivel nacional, también en [Ciudad]
💡 ¿Podemos agendar una visita para revisar las bodegas de insumos, empaque y producto de [Empresa]? La propuesta de distribución no tiene costo.
Hansell Moreira · Racksa Ecuador
📱 *Mi contacto directo: 099 399 9091*
📞 099 182 0185
📞 093 995 7939
📩 proyectos@racksaecuador.com.ec
🌐 https://www.racksaecuador.com.ec</t>
        </is>
      </c>
      <c r="E12" s="11" t="inlineStr">
        <is>
          <t>Hola [Nombre], le escribo para dar seguimiento a mi mensaje sobre los racks y perchas para su bodega. Si me comparte las medidas aproximadas (largo, ancho y alto) le envío una propuesta de distribución. ¡Gracias!
Racksa Ecuador · 099 182 0185</t>
        </is>
      </c>
      <c r="F12" s="11" t="inlineStr">
        <is>
          <t>—</t>
        </is>
      </c>
    </row>
    <row r="13" ht="330" customHeight="1">
      <c r="A13" s="21" t="inlineStr">
        <is>
          <t>Agroindustria y acuacultura</t>
        </is>
      </c>
      <c r="B13" s="11" t="inlineStr">
        <is>
          <t>Correo</t>
        </is>
      </c>
      <c r="C13" s="11" t="inlineStr">
        <is>
          <t>Propuesta de racks y perchas para [Empresa] · Racksa Ecuador</t>
        </is>
      </c>
      <c r="D13" s="11" t="inlineStr">
        <is>
          <t>Estimado/a [Nombre]:
Le saluda Hansell Moreira, de Racksa Ecuador, empresa de ingeniería intralogística que diseña e instala racks, perchas y mezzanines para bodegas a nivel nacional.
Le escribo porque podemos ayudar a [Empresa] a subir a lo alto en vez de apilar sacos y cajas en el piso. Algunos datos de nuestro sistema:
• Rack selectivo para 2.000 kg por nivel, acero Q235B con pintura electrostática epoxi resistente a la corrosión.
• Acero Q235B (equivalente ASTM A36) con pintura electrostática epoxi en polvo.
• Diseño basado en ANSI/RMI MH16.1, AISI S100 y NEC-SE (incluye sismo).
• Contamos con el stock para entrega inmediata.
Le propongo una visita técnica sin costo a las bodegas de insumos, empaque y producto de [Empresa] en [Ciudad] para levantar medidas y enviarle una distribución con su proforma.
¿Qué día de esta o la próxima semana le acomoda?
Atentamente,
Hansell Moreira
Racksa Ecuador · Ingeniería Intralogística
📱 MI CONTACTO DIRECTO: 099 399 9091
Oficina: 099 182 0185 · 093 995 7939
proyectos@racksaecuador.com.ec
https://www.racksaecuador.com.ec</t>
        </is>
      </c>
      <c r="E13" s="11" t="inlineStr">
        <is>
          <t>Estimado/a [Nombre]:
Le escribo para dar seguimiento a mi correo anterior. Si le resulta más fácil, puede enviarme un plano o las medidas de la bodega y el tipo de carga (pallets, cajas o sacos) y le preparo una propuesta de distribución sin compromiso.
Atentamente,
Hansell Moreira
Racksa Ecuador · Ingeniería Intralogística
📱 MI CONTACTO DIRECTO: 099 399 9091
Oficina: 099 182 0185 · 093 995 7939
proyectos@racksaecuador.com.ec
https://www.racksaecuador.com.ec</t>
        </is>
      </c>
      <c r="F13" s="11" t="inlineStr">
        <is>
          <t>Estimado/a [Nombre]:
Le escribo por última vez para no llenar su bandeja. Si en algún momento [Empresa] necesita ordenar o ampliar su bodega, con gusto le visitamos en [Ciudad] sin costo. Basta con responder este correo o llamarnos.
Atentamente,
Hansell Moreira
Racksa Ecuador · Ingeniería Intralogística
📱 MI CONTACTO DIRECTO: 099 399 9091
Oficina: 099 182 0185 · 093 995 7939
proyectos@racksaecuador.com.ec
https://www.racksaecuador.com.ec</t>
        </is>
      </c>
    </row>
    <row r="14" ht="150" customHeight="1">
      <c r="A14" s="21" t="inlineStr">
        <is>
          <t>Logística y courier</t>
        </is>
      </c>
      <c r="B14" s="11" t="inlineStr">
        <is>
          <t>LinkedIn</t>
        </is>
      </c>
      <c r="C14" s="11" t="inlineStr">
        <is>
          <t>—</t>
        </is>
      </c>
      <c r="D14" s="11" t="inlineStr">
        <is>
          <t>Hola [Nombre], soy Hansell Moreira de Racksa Ecuador. Diseñamos e instalamos racks y perchas para bodegas en todo el país. Me gustaría conectar y compartirle ideas para los centros de acopio.</t>
        </is>
      </c>
      <c r="E14" s="11" t="inlineStr">
        <is>
          <t>Gracias por conectar, [Nombre]. En Racksa Ecuador ayudamos a más posiciones por metro cuadrado con acceso directo a cada pallet: rack selectivo modular con acceso 100% directo y perchas de picking de 500 kg por nivel. Contamos con el stock para entrega inmediata y trabajamos a nivel nacional. ¿Le parece si coordinamos una visita sin costo a su bodega en [Ciudad] para proponerle una distribución?
Hansell Moreira · Racksa Ecuador
📱 Mi contacto directo: 099 399 9091
📞 099 182 0185
📞 093 995 7939
📩 proyectos@racksaecuador.com.ec
🌐 https://www.racksaecuador.com.ec</t>
        </is>
      </c>
      <c r="F14" s="11" t="inlineStr">
        <is>
          <t>—</t>
        </is>
      </c>
    </row>
    <row r="15" ht="270" customHeight="1">
      <c r="A15" s="21" t="inlineStr">
        <is>
          <t>Logística y courier</t>
        </is>
      </c>
      <c r="B15" s="11" t="inlineStr">
        <is>
          <t>WhatsApp</t>
        </is>
      </c>
      <c r="C15" s="11" t="inlineStr">
        <is>
          <t>—</t>
        </is>
      </c>
      <c r="D15" s="11" t="inlineStr">
        <is>
          <t>Buenos días, [Nombre]. Le saluda Hansell Moreira de *Racksa Ecuador*.
Trabajamos con empresas de todo el país para más posiciones por metro cuadrado con acceso directo a cada pallet.
✅ Rack selectivo modular con acceso 100% directo y perchas de picking de 500 kg por nivel
✅ Contamos con el stock para entrega inmediata
✅ Trabajamos a nivel nacional, también en [Ciudad]
💡 ¿Podemos agendar una visita para revisar los centros de acopio de [Empresa]? La propuesta de distribución no tiene costo.
Hansell Moreira · Racksa Ecuador
📱 *Mi contacto directo: 099 399 9091*
📞 099 182 0185
📞 093 995 7939
📩 proyectos@racksaecuador.com.ec
🌐 https://www.racksaecuador.com.ec</t>
        </is>
      </c>
      <c r="E15" s="11" t="inlineStr">
        <is>
          <t>Hola [Nombre], le escribo para dar seguimiento a mi mensaje sobre los racks y perchas para su bodega. Si me comparte las medidas aproximadas (largo, ancho y alto) le envío una propuesta de distribución. ¡Gracias!
Racksa Ecuador · 099 182 0185</t>
        </is>
      </c>
      <c r="F15" s="11" t="inlineStr">
        <is>
          <t>—</t>
        </is>
      </c>
    </row>
    <row r="16" ht="330" customHeight="1">
      <c r="A16" s="21" t="inlineStr">
        <is>
          <t>Logística y courier</t>
        </is>
      </c>
      <c r="B16" s="11" t="inlineStr">
        <is>
          <t>Correo</t>
        </is>
      </c>
      <c r="C16" s="11" t="inlineStr">
        <is>
          <t>Propuesta de racks y perchas para [Empresa] · Racksa Ecuador</t>
        </is>
      </c>
      <c r="D16" s="11" t="inlineStr">
        <is>
          <t>Estimado/a [Nombre]:
Le saluda Hansell Moreira, de Racksa Ecuador, empresa de ingeniería intralogística que diseña e instala racks, perchas y mezzanines para bodegas a nivel nacional.
Le escribo porque podemos ayudar a [Empresa] a más posiciones por metro cuadrado con acceso directo a cada pallet. Algunos datos de nuestro sistema:
• Rack selectivo modular con acceso 100% directo y perchas de picking de 500 kg por nivel.
• Acero Q235B (equivalente ASTM A36) con pintura electrostática epoxi en polvo.
• Diseño basado en ANSI/RMI MH16.1, AISI S100 y NEC-SE (incluye sismo).
• Contamos con el stock para entrega inmediata.
Le propongo una visita técnica sin costo a los centros de acopio de [Empresa] en [Ciudad] para levantar medidas y enviarle una distribución con su proforma.
¿Qué día de esta o la próxima semana le acomoda?
Atentamente,
Hansell Moreira
Racksa Ecuador · Ingeniería Intralogística
📱 MI CONTACTO DIRECTO: 099 399 9091
Oficina: 099 182 0185 · 093 995 7939
proyectos@racksaecuador.com.ec
https://www.racksaecuador.com.ec</t>
        </is>
      </c>
      <c r="E16" s="11" t="inlineStr">
        <is>
          <t>Estimado/a [Nombre]:
Le escribo para dar seguimiento a mi correo anterior. Si le resulta más fácil, puede enviarme un plano o las medidas de la bodega y el tipo de carga (pallets, cajas o sacos) y le preparo una propuesta de distribución sin compromiso.
Atentamente,
Hansell Moreira
Racksa Ecuador · Ingeniería Intralogística
📱 MI CONTACTO DIRECTO: 099 399 9091
Oficina: 099 182 0185 · 093 995 7939
proyectos@racksaecuador.com.ec
https://www.racksaecuador.com.ec</t>
        </is>
      </c>
      <c r="F16" s="11" t="inlineStr">
        <is>
          <t>Estimado/a [Nombre]:
Le escribo por última vez para no llenar su bandeja. Si en algún momento [Empresa] necesita ordenar o ampliar su bodega, con gusto le visitamos en [Ciudad] sin costo. Basta con responder este correo o llamarnos.
Atentamente,
Hansell Moreira
Racksa Ecuador · Ingeniería Intralogística
📱 MI CONTACTO DIRECTO: 099 399 9091
Oficina: 099 182 0185 · 093 995 7939
proyectos@racksaecuador.com.ec
https://www.racksaecuador.com.ec</t>
        </is>
      </c>
    </row>
    <row r="17" ht="150" customHeight="1">
      <c r="A17" s="21" t="inlineStr">
        <is>
          <t>Minería, petróleo y energía</t>
        </is>
      </c>
      <c r="B17" s="11" t="inlineStr">
        <is>
          <t>LinkedIn</t>
        </is>
      </c>
      <c r="C17" s="11" t="inlineStr">
        <is>
          <t>—</t>
        </is>
      </c>
      <c r="D17" s="11" t="inlineStr">
        <is>
          <t>Hola [Nombre], soy Hansell Moreira de Racksa Ecuador. Diseñamos e instalamos racks y perchas para bodegas en todo el país. Me gustaría conectar y compartirle ideas para la bodega de repuestos e insumos.</t>
        </is>
      </c>
      <c r="E17" s="11" t="inlineStr">
        <is>
          <t>Gracias por conectar, [Nombre]. En Racksa Ecuador ayudamos a tener cada repuesto identificado y a la mano, aunque el proyecto esté lejos: perchas de 500 kg por nivel y rack selectivo diseñado con base en ANSI/RMI MH16.1 y NEC-SE. Contamos con el stock para entrega inmediata y trabajamos a nivel nacional. ¿Le parece si coordinamos una visita sin costo a su bodega en [Ciudad] para proponerle una distribución?
Hansell Moreira · Racksa Ecuador
📱 Mi contacto directo: 099 399 9091
📞 099 182 0185
📞 093 995 7939
📩 proyectos@racksaecuador.com.ec
🌐 https://www.racksaecuador.com.ec</t>
        </is>
      </c>
      <c r="F17" s="11" t="inlineStr">
        <is>
          <t>—</t>
        </is>
      </c>
    </row>
    <row r="18" ht="270" customHeight="1">
      <c r="A18" s="21" t="inlineStr">
        <is>
          <t>Minería, petróleo y energía</t>
        </is>
      </c>
      <c r="B18" s="11" t="inlineStr">
        <is>
          <t>WhatsApp</t>
        </is>
      </c>
      <c r="C18" s="11" t="inlineStr">
        <is>
          <t>—</t>
        </is>
      </c>
      <c r="D18" s="11" t="inlineStr">
        <is>
          <t>Buenos días, [Nombre]. Le saluda Hansell Moreira de *Racksa Ecuador*.
Trabajamos con empresas de todo el país para tener cada repuesto identificado y a la mano, aunque el proyecto esté lejos.
✅ Perchas de 500 kg por nivel y rack selectivo diseñado con base en ANSI/RMI MH16.1 y NEC-SE
✅ Contamos con el stock para entrega inmediata
✅ Trabajamos a nivel nacional, también en [Ciudad]
💡 ¿Podemos agendar una visita para revisar la bodega de repuestos e insumos de [Empresa]? La propuesta de distribución no tiene costo.
Hansell Moreira · Racksa Ecuador
📱 *Mi contacto directo: 099 399 9091*
📞 099 182 0185
📞 093 995 7939
📩 proyectos@racksaecuador.com.ec
🌐 https://www.racksaecuador.com.ec</t>
        </is>
      </c>
      <c r="E18" s="11" t="inlineStr">
        <is>
          <t>Hola [Nombre], le escribo para dar seguimiento a mi mensaje sobre los racks y perchas para su bodega. Si me comparte las medidas aproximadas (largo, ancho y alto) le envío una propuesta de distribución. ¡Gracias!
Racksa Ecuador · 099 182 0185</t>
        </is>
      </c>
      <c r="F18" s="11" t="inlineStr">
        <is>
          <t>—</t>
        </is>
      </c>
    </row>
    <row r="19" ht="330" customHeight="1">
      <c r="A19" s="21" t="inlineStr">
        <is>
          <t>Minería, petróleo y energía</t>
        </is>
      </c>
      <c r="B19" s="11" t="inlineStr">
        <is>
          <t>Correo</t>
        </is>
      </c>
      <c r="C19" s="11" t="inlineStr">
        <is>
          <t>Propuesta de racks y perchas para [Empresa] · Racksa Ecuador</t>
        </is>
      </c>
      <c r="D19" s="11" t="inlineStr">
        <is>
          <t>Estimado/a [Nombre]:
Le saluda Hansell Moreira, de Racksa Ecuador, empresa de ingeniería intralogística que diseña e instala racks, perchas y mezzanines para bodegas a nivel nacional.
Le escribo porque podemos ayudar a [Empresa] a tener cada repuesto identificado y a la mano, aunque el proyecto esté lejos. Algunos datos de nuestro sistema:
• Perchas de 500 kg por nivel y rack selectivo diseñado con base en ANSI/RMI MH16.1 y NEC-SE.
• Acero Q235B (equivalente ASTM A36) con pintura electrostática epoxi en polvo.
• Diseño basado en ANSI/RMI MH16.1, AISI S100 y NEC-SE (incluye sismo).
• Contamos con el stock para entrega inmediata.
Le propongo una visita técnica sin costo a la bodega de repuestos e insumos de [Empresa] en [Ciudad] para levantar medidas y enviarle una distribución con su proforma.
¿Qué día de esta o la próxima semana le acomoda?
Atentamente,
Hansell Moreira
Racksa Ecuador · Ingeniería Intralogística
📱 MI CONTACTO DIRECTO: 099 399 9091
Oficina: 099 182 0185 · 093 995 7939
proyectos@racksaecuador.com.ec
https://www.racksaecuador.com.ec</t>
        </is>
      </c>
      <c r="E19" s="11" t="inlineStr">
        <is>
          <t>Estimado/a [Nombre]:
Le escribo para dar seguimiento a mi correo anterior. Si le resulta más fácil, puede enviarme un plano o las medidas de la bodega y el tipo de carga (pallets, cajas o sacos) y le preparo una propuesta de distribución sin compromiso.
Atentamente,
Hansell Moreira
Racksa Ecuador · Ingeniería Intralogística
📱 MI CONTACTO DIRECTO: 099 399 9091
Oficina: 099 182 0185 · 093 995 7939
proyectos@racksaecuador.com.ec
https://www.racksaecuador.com.ec</t>
        </is>
      </c>
      <c r="F19" s="11" t="inlineStr">
        <is>
          <t>Estimado/a [Nombre]:
Le escribo por última vez para no llenar su bandeja. Si en algún momento [Empresa] necesita ordenar o ampliar su bodega, con gusto le visitamos en [Ciudad] sin costo. Basta con responder este correo o llamarnos.
Atentamente,
Hansell Moreira
Racksa Ecuador · Ingeniería Intralogística
📱 MI CONTACTO DIRECTO: 099 399 9091
Oficina: 099 182 0185 · 093 995 7939
proyectos@racksaecuador.com.ec
https://www.racksaecuador.com.ec</t>
        </is>
      </c>
    </row>
    <row r="20" ht="150" customHeight="1">
      <c r="A20" s="21" t="inlineStr">
        <is>
          <t>Automotriz y repuestos</t>
        </is>
      </c>
      <c r="B20" s="11" t="inlineStr">
        <is>
          <t>LinkedIn</t>
        </is>
      </c>
      <c r="C20" s="11" t="inlineStr">
        <is>
          <t>—</t>
        </is>
      </c>
      <c r="D20" s="11" t="inlineStr">
        <is>
          <t>Hola [Nombre], soy Hansell Moreira de Racksa Ecuador. Diseñamos e instalamos racks y perchas para bodegas en todo el país. Me gustaría conectar y compartirle ideas para la bodega de repuestos.</t>
        </is>
      </c>
      <c r="E20" s="11" t="inlineStr">
        <is>
          <t>Gracias por conectar, [Nombre]. En Racksa Ecuador ayudamos a encontrar cada repuesto en segundos: perchas de picking de 500 kg por nivel y rack selectivo para pallets. Contamos con el stock para entrega inmediata y trabajamos a nivel nacional. ¿Le parece si coordinamos una visita sin costo a su bodega en [Ciudad] para proponerle una distribución?
Hansell Moreira · Racksa Ecuador
📱 Mi contacto directo: 099 399 9091
📞 099 182 0185
📞 093 995 7939
📩 proyectos@racksaecuador.com.ec
🌐 https://www.racksaecuador.com.ec</t>
        </is>
      </c>
      <c r="F20" s="11" t="inlineStr">
        <is>
          <t>—</t>
        </is>
      </c>
    </row>
    <row r="21" ht="270" customHeight="1">
      <c r="A21" s="21" t="inlineStr">
        <is>
          <t>Automotriz y repuestos</t>
        </is>
      </c>
      <c r="B21" s="11" t="inlineStr">
        <is>
          <t>WhatsApp</t>
        </is>
      </c>
      <c r="C21" s="11" t="inlineStr">
        <is>
          <t>—</t>
        </is>
      </c>
      <c r="D21" s="11" t="inlineStr">
        <is>
          <t>Buenos días, [Nombre]. Le saluda Hansell Moreira de *Racksa Ecuador*.
Trabajamos con empresas de todo el país para encontrar cada repuesto en segundos.
✅ Perchas de picking de 500 kg por nivel y rack selectivo para pallets
✅ Contamos con el stock para entrega inmediata
✅ Trabajamos a nivel nacional, también en [Ciudad]
💡 ¿Podemos agendar una visita para revisar la bodega de repuestos de [Empresa]? La propuesta de distribución no tiene costo.
Hansell Moreira · Racksa Ecuador
📱 *Mi contacto directo: 099 399 9091*
📞 099 182 0185
📞 093 995 7939
📩 proyectos@racksaecuador.com.ec
🌐 https://www.racksaecuador.com.ec</t>
        </is>
      </c>
      <c r="E21" s="11" t="inlineStr">
        <is>
          <t>Hola [Nombre], le escribo para dar seguimiento a mi mensaje sobre los racks y perchas para su bodega. Si me comparte las medidas aproximadas (largo, ancho y alto) le envío una propuesta de distribución. ¡Gracias!
Racksa Ecuador · 099 182 0185</t>
        </is>
      </c>
      <c r="F21" s="11" t="inlineStr">
        <is>
          <t>—</t>
        </is>
      </c>
    </row>
    <row r="22" ht="330" customHeight="1">
      <c r="A22" s="21" t="inlineStr">
        <is>
          <t>Automotriz y repuestos</t>
        </is>
      </c>
      <c r="B22" s="11" t="inlineStr">
        <is>
          <t>Correo</t>
        </is>
      </c>
      <c r="C22" s="11" t="inlineStr">
        <is>
          <t>Propuesta de racks y perchas para [Empresa] · Racksa Ecuador</t>
        </is>
      </c>
      <c r="D22" s="11" t="inlineStr">
        <is>
          <t>Estimado/a [Nombre]:
Le saluda Hansell Moreira, de Racksa Ecuador, empresa de ingeniería intralogística que diseña e instala racks, perchas y mezzanines para bodegas a nivel nacional.
Le escribo porque podemos ayudar a [Empresa] a encontrar cada repuesto en segundos. Algunos datos de nuestro sistema:
• Perchas de picking de 500 kg por nivel y rack selectivo para pallets.
• Acero Q235B (equivalente ASTM A36) con pintura electrostática epoxi en polvo.
• Diseño basado en ANSI/RMI MH16.1, AISI S100 y NEC-SE (incluye sismo).
• Contamos con el stock para entrega inmediata.
Le propongo una visita técnica sin costo a la bodega de repuestos de [Empresa] en [Ciudad] para levantar medidas y enviarle una distribución con su proforma.
¿Qué día de esta o la próxima semana le acomoda?
Atentamente,
Hansell Moreira
Racksa Ecuador · Ingeniería Intralogística
📱 MI CONTACTO DIRECTO: 099 399 9091
Oficina: 099 182 0185 · 093 995 7939
proyectos@racksaecuador.com.ec
https://www.racksaecuador.com.ec</t>
        </is>
      </c>
      <c r="E22" s="11" t="inlineStr">
        <is>
          <t>Estimado/a [Nombre]:
Le escribo para dar seguimiento a mi correo anterior. Si le resulta más fácil, puede enviarme un plano o las medidas de la bodega y el tipo de carga (pallets, cajas o sacos) y le preparo una propuesta de distribución sin compromiso.
Atentamente,
Hansell Moreira
Racksa Ecuador · Ingeniería Intralogística
📱 MI CONTACTO DIRECTO: 099 399 9091
Oficina: 099 182 0185 · 093 995 7939
proyectos@racksaecuador.com.ec
https://www.racksaecuador.com.ec</t>
        </is>
      </c>
      <c r="F22" s="11" t="inlineStr">
        <is>
          <t>Estimado/a [Nombre]:
Le escribo por última vez para no llenar su bandeja. Si en algún momento [Empresa] necesita ordenar o ampliar su bodega, con gusto le visitamos en [Ciudad] sin costo. Basta con responder este correo o llamarnos.
Atentamente,
Hansell Moreira
Racksa Ecuador · Ingeniería Intralogística
📱 MI CONTACTO DIRECTO: 099 399 9091
Oficina: 099 182 0185 · 093 995 7939
proyectos@racksaecuador.com.ec
https://www.racksaecuador.com.ec</t>
        </is>
      </c>
    </row>
    <row r="23" ht="150" customHeight="1">
      <c r="A23" s="21" t="inlineStr">
        <is>
          <t>Alimentos, bebidas y consumo</t>
        </is>
      </c>
      <c r="B23" s="11" t="inlineStr">
        <is>
          <t>LinkedIn</t>
        </is>
      </c>
      <c r="C23" s="11" t="inlineStr">
        <is>
          <t>—</t>
        </is>
      </c>
      <c r="D23" s="11" t="inlineStr">
        <is>
          <t>Hola [Nombre], soy Hansell Moreira de Racksa Ecuador. Diseñamos e instalamos racks y perchas para bodegas en todo el país. Me gustaría conectar y compartirle ideas para la bodega de producto terminado.</t>
        </is>
      </c>
      <c r="E23" s="11" t="inlineStr">
        <is>
          <t>Gracias por conectar, [Nombre]. En Racksa Ecuador ayudamos a más pallets en el mismo espacio y despachos más rápidos: rack selectivo con acceso 100% directo, 2.000 kg por nivel y diseño basado en ANSI/RMI MH16.1 y NEC-SE. Contamos con el stock para entrega inmediata y trabajamos a nivel nacional. ¿Le parece si coordinamos una visita sin costo a su bodega en [Ciudad] para proponerle una distribución?
Hansell Moreira · Racksa Ecuador
📱 Mi contacto directo: 099 399 9091
📞 099 182 0185
📞 093 995 7939
📩 proyectos@racksaecuador.com.ec
🌐 https://www.racksaecuador.com.ec</t>
        </is>
      </c>
      <c r="F23" s="11" t="inlineStr">
        <is>
          <t>—</t>
        </is>
      </c>
    </row>
    <row r="24" ht="270" customHeight="1">
      <c r="A24" s="21" t="inlineStr">
        <is>
          <t>Alimentos, bebidas y consumo</t>
        </is>
      </c>
      <c r="B24" s="11" t="inlineStr">
        <is>
          <t>WhatsApp</t>
        </is>
      </c>
      <c r="C24" s="11" t="inlineStr">
        <is>
          <t>—</t>
        </is>
      </c>
      <c r="D24" s="11" t="inlineStr">
        <is>
          <t>Buenos días, [Nombre]. Le saluda Hansell Moreira de *Racksa Ecuador*.
Trabajamos con empresas de todo el país para más pallets en el mismo espacio y despachos más rápidos.
✅ Rack selectivo con acceso 100% directo, 2.000 kg por nivel y diseño basado en ANSI/RMI MH16.1 y NEC-SE
✅ Contamos con el stock para entrega inmediata
✅ Trabajamos a nivel nacional, también en [Ciudad]
💡 ¿Podemos agendar una visita para revisar la bodega de producto terminado de [Empresa]? La propuesta de distribución no tiene costo.
Hansell Moreira · Racksa Ecuador
📱 *Mi contacto directo: 099 399 9091*
📞 099 182 0185
📞 093 995 7939
📩 proyectos@racksaecuador.com.ec
🌐 https://www.racksaecuador.com.ec</t>
        </is>
      </c>
      <c r="E24" s="11" t="inlineStr">
        <is>
          <t>Hola [Nombre], le escribo para dar seguimiento a mi mensaje sobre los racks y perchas para su bodega. Si me comparte las medidas aproximadas (largo, ancho y alto) le envío una propuesta de distribución. ¡Gracias!
Racksa Ecuador · 099 182 0185</t>
        </is>
      </c>
      <c r="F24" s="11" t="inlineStr">
        <is>
          <t>—</t>
        </is>
      </c>
    </row>
    <row r="25" ht="330" customHeight="1">
      <c r="A25" s="21" t="inlineStr">
        <is>
          <t>Alimentos, bebidas y consumo</t>
        </is>
      </c>
      <c r="B25" s="11" t="inlineStr">
        <is>
          <t>Correo</t>
        </is>
      </c>
      <c r="C25" s="11" t="inlineStr">
        <is>
          <t>Propuesta de racks y perchas para [Empresa] · Racksa Ecuador</t>
        </is>
      </c>
      <c r="D25" s="11" t="inlineStr">
        <is>
          <t>Estimado/a [Nombre]:
Le saluda Hansell Moreira, de Racksa Ecuador, empresa de ingeniería intralogística que diseña e instala racks, perchas y mezzanines para bodegas a nivel nacional.
Le escribo porque podemos ayudar a [Empresa] a más pallets en el mismo espacio y despachos más rápidos. Algunos datos de nuestro sistema:
• Rack selectivo con acceso 100% directo, 2.000 kg por nivel y diseño basado en ANSI/RMI MH16.1 y NEC-SE.
• Acero Q235B (equivalente ASTM A36) con pintura electrostática epoxi en polvo.
• Diseño basado en ANSI/RMI MH16.1, AISI S100 y NEC-SE (incluye sismo).
• Contamos con el stock para entrega inmediata.
Le propongo una visita técnica sin costo a la bodega de producto terminado de [Empresa] en [Ciudad] para levantar medidas y enviarle una distribución con su proforma.
¿Qué día de esta o la próxima semana le acomoda?
Atentamente,
Hansell Moreira
Racksa Ecuador · Ingeniería Intralogística
📱 MI CONTACTO DIRECTO: 099 399 9091
Oficina: 099 182 0185 · 093 995 7939
proyectos@racksaecuador.com.ec
https://www.racksaecuador.com.ec</t>
        </is>
      </c>
      <c r="E25" s="11" t="inlineStr">
        <is>
          <t>Estimado/a [Nombre]:
Le escribo para dar seguimiento a mi correo anterior. Si le resulta más fácil, puede enviarme un plano o las medidas de la bodega y el tipo de carga (pallets, cajas o sacos) y le preparo una propuesta de distribución sin compromiso.
Atentamente,
Hansell Moreira
Racksa Ecuador · Ingeniería Intralogística
📱 MI CONTACTO DIRECTO: 099 399 9091
Oficina: 099 182 0185 · 093 995 7939
proyectos@racksaecuador.com.ec
https://www.racksaecuador.com.ec</t>
        </is>
      </c>
      <c r="F25" s="11" t="inlineStr">
        <is>
          <t>Estimado/a [Nombre]:
Le escribo por última vez para no llenar su bandeja. Si en algún momento [Empresa] necesita ordenar o ampliar su bodega, con gusto le visitamos en [Ciudad] sin costo. Basta con responder este correo o llamarnos.
Atentamente,
Hansell Moreira
Racksa Ecuador · Ingeniería Intralogística
📱 MI CONTACTO DIRECTO: 099 399 9091
Oficina: 099 182 0185 · 093 995 7939
proyectos@racksaecuador.com.ec
https://www.racksaecuador.com.ec</t>
        </is>
      </c>
    </row>
    <row r="26" ht="150" customHeight="1">
      <c r="A26" s="21" t="inlineStr">
        <is>
          <t>Manufactura</t>
        </is>
      </c>
      <c r="B26" s="11" t="inlineStr">
        <is>
          <t>LinkedIn</t>
        </is>
      </c>
      <c r="C26" s="11" t="inlineStr">
        <is>
          <t>—</t>
        </is>
      </c>
      <c r="D26" s="11" t="inlineStr">
        <is>
          <t>Hola [Nombre], soy Hansell Moreira de Racksa Ecuador. Diseñamos e instalamos racks y perchas para bodegas en todo el país. Me gustaría conectar y compartirle ideas para la bodega de materia prima y producto terminado.</t>
        </is>
      </c>
      <c r="E26" s="11" t="inlineStr">
        <is>
          <t>Gracias por conectar, [Nombre]. En Racksa Ecuador ayudamos a liberar piso para producción y ordenar la bodega: rack selectivo para 2.000 kg por nivel, acero Q235B y diseño basado en ANSI/RMI MH16.1 y NEC-SE. Contamos con el stock para entrega inmediata y trabajamos a nivel nacional. ¿Le parece si coordinamos una visita sin costo a su bodega en [Ciudad] para proponerle una distribución?
Hansell Moreira · Racksa Ecuador
📱 Mi contacto directo: 099 399 9091
📞 099 182 0185
📞 093 995 7939
📩 proyectos@racksaecuador.com.ec
🌐 https://www.racksaecuador.com.ec</t>
        </is>
      </c>
      <c r="F26" s="11" t="inlineStr">
        <is>
          <t>—</t>
        </is>
      </c>
    </row>
    <row r="27" ht="270" customHeight="1">
      <c r="A27" s="21" t="inlineStr">
        <is>
          <t>Manufactura</t>
        </is>
      </c>
      <c r="B27" s="11" t="inlineStr">
        <is>
          <t>WhatsApp</t>
        </is>
      </c>
      <c r="C27" s="11" t="inlineStr">
        <is>
          <t>—</t>
        </is>
      </c>
      <c r="D27" s="11" t="inlineStr">
        <is>
          <t>Buenos días, [Nombre]. Le saluda Hansell Moreira de *Racksa Ecuador*.
Trabajamos con empresas de todo el país para liberar piso para producción y ordenar la bodega.
✅ Rack selectivo para 2.000 kg por nivel, acero Q235B y diseño basado en ANSI/RMI MH16.1 y NEC-SE
✅ Contamos con el stock para entrega inmediata
✅ Trabajamos a nivel nacional, también en [Ciudad]
💡 ¿Podemos agendar una visita para revisar la bodega de materia prima y producto terminado de [Empresa]? La propuesta de distribución no tiene costo.
Hansell Moreira · Racksa Ecuador
📱 *Mi contacto directo: 099 399 9091*
📞 099 182 0185
📞 093 995 7939
📩 proyectos@racksaecuador.com.ec
🌐 https://www.racksaecuador.com.ec</t>
        </is>
      </c>
      <c r="E27" s="11" t="inlineStr">
        <is>
          <t>Hola [Nombre], le escribo para dar seguimiento a mi mensaje sobre los racks y perchas para su bodega. Si me comparte las medidas aproximadas (largo, ancho y alto) le envío una propuesta de distribución. ¡Gracias!
Racksa Ecuador · 099 182 0185</t>
        </is>
      </c>
      <c r="F27" s="11" t="inlineStr">
        <is>
          <t>—</t>
        </is>
      </c>
    </row>
    <row r="28" ht="330" customHeight="1">
      <c r="A28" s="21" t="inlineStr">
        <is>
          <t>Manufactura</t>
        </is>
      </c>
      <c r="B28" s="11" t="inlineStr">
        <is>
          <t>Correo</t>
        </is>
      </c>
      <c r="C28" s="11" t="inlineStr">
        <is>
          <t>Propuesta de racks y perchas para [Empresa] · Racksa Ecuador</t>
        </is>
      </c>
      <c r="D28" s="11" t="inlineStr">
        <is>
          <t>Estimado/a [Nombre]:
Le saluda Hansell Moreira, de Racksa Ecuador, empresa de ingeniería intralogística que diseña e instala racks, perchas y mezzanines para bodegas a nivel nacional.
Le escribo porque podemos ayudar a [Empresa] a liberar piso para producción y ordenar la bodega. Algunos datos de nuestro sistema:
• Rack selectivo para 2.000 kg por nivel, acero Q235B y diseño basado en ANSI/RMI MH16.1 y NEC-SE.
• Acero Q235B (equivalente ASTM A36) con pintura electrostática epoxi en polvo.
• Diseño basado en ANSI/RMI MH16.1, AISI S100 y NEC-SE (incluye sismo).
• Contamos con el stock para entrega inmediata.
Le propongo una visita técnica sin costo a la bodega de materia prima y producto terminado de [Empresa] en [Ciudad] para levantar medidas y enviarle una distribución con su proforma.
¿Qué día de esta o la próxima semana le acomoda?
Atentamente,
Hansell Moreira
Racksa Ecuador · Ingeniería Intralogística
📱 MI CONTACTO DIRECTO: 099 399 9091
Oficina: 099 182 0185 · 093 995 7939
proyectos@racksaecuador.com.ec
https://www.racksaecuador.com.ec</t>
        </is>
      </c>
      <c r="E28" s="11" t="inlineStr">
        <is>
          <t>Estimado/a [Nombre]:
Le escribo para dar seguimiento a mi correo anterior. Si le resulta más fácil, puede enviarme un plano o las medidas de la bodega y el tipo de carga (pallets, cajas o sacos) y le preparo una propuesta de distribución sin compromiso.
Atentamente,
Hansell Moreira
Racksa Ecuador · Ingeniería Intralogística
📱 MI CONTACTO DIRECTO: 099 399 9091
Oficina: 099 182 0185 · 093 995 7939
proyectos@racksaecuador.com.ec
https://www.racksaecuador.com.ec</t>
        </is>
      </c>
      <c r="F28" s="11" t="inlineStr">
        <is>
          <t>Estimado/a [Nombre]:
Le escribo por última vez para no llenar su bandeja. Si en algún momento [Empresa] necesita ordenar o ampliar su bodega, con gusto le visitamos en [Ciudad] sin costo. Basta con responder este correo o llamarnos.
Atentamente,
Hansell Moreira
Racksa Ecuador · Ingeniería Intralogística
📱 MI CONTACTO DIRECTO: 099 399 9091
Oficina: 099 182 0185 · 093 995 7939
proyectos@racksaecuador.com.ec
https://www.racksaecuador.com.ec</t>
        </is>
      </c>
    </row>
  </sheetData>
  <autoFilter ref="A1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2026-10-25T07:20:36Z</dcterms:created>
  <dcterms:modified xmlns:dcterms="http://purl.org/dc/terms/" xmlns:xsi="http://www.w3.org/2001/XMLSchema-instance" xsi:type="dcterms:W3CDTF">2026-10-25T07:20:36Z</dcterms:modified>
</cp:coreProperties>
</file>